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jakob\Desktop\GitHub\SevenKingdoms-CK3\tools\JamiesCharacterHistoryGenerator\"/>
    </mc:Choice>
  </mc:AlternateContent>
  <xr:revisionPtr revIDLastSave="0" documentId="13_ncr:1_{8008EE5A-8D7A-4F44-B515-25726434D830}" xr6:coauthVersionLast="47" xr6:coauthVersionMax="47" xr10:uidLastSave="{00000000-0000-0000-0000-000000000000}"/>
  <bookViews>
    <workbookView xWindow="-120" yWindow="285" windowWidth="38640" windowHeight="20865" activeTab="1" xr2:uid="{8C5DC14B-BD1E-4060-82B9-F5FAEF76D8A9}"/>
  </bookViews>
  <sheets>
    <sheet name="Instructions" sheetId="5" r:id="rId1"/>
    <sheet name="Inputs" sheetId="1" r:id="rId2"/>
    <sheet name="Tables" sheetId="3" r:id="rId3"/>
  </sheets>
  <definedNames>
    <definedName name="agedifMax">Inputs!$C$16</definedName>
    <definedName name="agedifMin">Inputs!$C$15</definedName>
    <definedName name="battleDeathAgeReductionMax">Inputs!#REF!</definedName>
    <definedName name="battleDeathChance">Inputs!$C$22</definedName>
    <definedName name="battleDeathMaxAge">Inputs!$C$24</definedName>
    <definedName name="battleDeathMinAge">Inputs!$C$23</definedName>
    <definedName name="charIDString">Inputs!$C$6</definedName>
    <definedName name="childbearingAgeReductionMax">Inputs!$C$41</definedName>
    <definedName name="childbirthMaxAge">Inputs!$C$19</definedName>
    <definedName name="childbirthMinAge">Inputs!$C$18</definedName>
    <definedName name="childrenMax">Inputs!$C$20</definedName>
    <definedName name="cultureID">Inputs!$C$4</definedName>
    <definedName name="dynastyID">Inputs!$C$2</definedName>
    <definedName name="faithID">Inputs!$C$3</definedName>
    <definedName name="generations">Inputs!$C$10</definedName>
    <definedName name="generationSiblings">Inputs!$C$11</definedName>
    <definedName name="heroBuffMax">Inputs!$C$45</definedName>
    <definedName name="heroBuffMin">Inputs!$C$44</definedName>
    <definedName name="heroChance">Inputs!$C$43</definedName>
    <definedName name="illDeathAgeReductionMax">Inputs!#REF!</definedName>
    <definedName name="illDeathChance">Inputs!$C$26</definedName>
    <definedName name="illDeathMaxAge">Inputs!$C$28</definedName>
    <definedName name="illDeathMinAge">Inputs!$C$27</definedName>
    <definedName name="initialCharID">Inputs!$C$7</definedName>
    <definedName name="intrigueDeathAgeReductionMax">Inputs!#REF!</definedName>
    <definedName name="intrigueDeathChance">Inputs!$C$30</definedName>
    <definedName name="intrigueDeathMaxAge">Inputs!$C$32</definedName>
    <definedName name="intrigueDeathMinAge">Inputs!$C$31</definedName>
    <definedName name="limitBirthYear">Inputs!$C$10</definedName>
    <definedName name="marriageAgeReductionMax">Inputs!$C$40</definedName>
    <definedName name="marriageMaxAge">Inputs!$C$14</definedName>
    <definedName name="marriageMinAge">Inputs!$C$13</definedName>
    <definedName name="oldDeathAgeReduction">Inputs!$C$37</definedName>
    <definedName name="oldDeathAgeReductionMax">Inputs!$C$39</definedName>
    <definedName name="oldDeathAgeReductionMin">Inputs!$C$38</definedName>
    <definedName name="oldDeathMaxAge">Inputs!$C$35</definedName>
    <definedName name="oldDeathMinAge">Inputs!$C$34</definedName>
    <definedName name="optionEducation">Inputs!$E$13</definedName>
    <definedName name="optionHeroes">Inputs!$E$14</definedName>
    <definedName name="optionLocKeys">Inputs!$E$15</definedName>
    <definedName name="optionMaleLine">Inputs!$E$7</definedName>
    <definedName name="optionNicknames">Inputs!$E$10</definedName>
    <definedName name="optionNumenorianBlood">Inputs!$E$8</definedName>
    <definedName name="optionPersonalityTraits">Inputs!$E$11</definedName>
    <definedName name="optionSexuality">Inputs!$E$9</definedName>
    <definedName name="optionSkills">Inputs!$E$12</definedName>
    <definedName name="sex">Inputs!#REF!</definedName>
    <definedName name="startBirthYear">Inputs!$C$9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U3" i="3" l="1"/>
  <c r="AU4" i="3"/>
  <c r="AU5" i="3"/>
  <c r="AU6" i="3"/>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T3" i="3"/>
  <c r="T4" i="3"/>
  <c r="T5" i="3"/>
  <c r="T6" i="3"/>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5" i="3"/>
  <c r="AQ46" i="3"/>
  <c r="AQ47" i="3"/>
  <c r="AQ48" i="3"/>
  <c r="AQ49" i="3"/>
  <c r="AQ50" i="3"/>
  <c r="AQ51" i="3"/>
  <c r="AQ5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O3" i="3"/>
  <c r="AO4" i="3"/>
  <c r="AO5" i="3"/>
  <c r="AO6" i="3"/>
  <c r="AO7" i="3"/>
  <c r="AO8" i="3"/>
  <c r="AO9" i="3"/>
  <c r="AO10" i="3"/>
  <c r="AO11" i="3"/>
  <c r="AO12" i="3"/>
  <c r="AO13" i="3"/>
  <c r="AO14" i="3"/>
  <c r="AO15" i="3"/>
  <c r="AO16" i="3"/>
  <c r="AO17" i="3"/>
  <c r="AO18" i="3"/>
  <c r="AO19" i="3"/>
  <c r="AO20" i="3"/>
  <c r="AO21" i="3"/>
  <c r="AO22" i="3"/>
  <c r="AO23" i="3"/>
  <c r="AO24" i="3"/>
  <c r="AO25" i="3"/>
  <c r="AO26" i="3"/>
  <c r="AO27" i="3"/>
  <c r="AO28" i="3"/>
  <c r="AO29" i="3"/>
  <c r="AO30" i="3"/>
  <c r="AO31" i="3"/>
  <c r="AO32" i="3"/>
  <c r="AO33" i="3"/>
  <c r="AO34" i="3"/>
  <c r="AO35" i="3"/>
  <c r="AO36" i="3"/>
  <c r="AO37" i="3"/>
  <c r="AO38" i="3"/>
  <c r="AO39" i="3"/>
  <c r="AO40" i="3"/>
  <c r="AO41" i="3"/>
  <c r="AO42" i="3"/>
  <c r="AO43" i="3"/>
  <c r="AO44" i="3"/>
  <c r="AO45" i="3"/>
  <c r="AO46" i="3"/>
  <c r="AO47" i="3"/>
  <c r="AO48" i="3"/>
  <c r="AO49" i="3"/>
  <c r="AO50" i="3"/>
  <c r="AO51" i="3"/>
  <c r="AO52" i="3"/>
  <c r="AN3" i="3"/>
  <c r="AN4" i="3"/>
  <c r="AN5" i="3"/>
  <c r="AN6" i="3"/>
  <c r="AN7" i="3"/>
  <c r="AN8" i="3"/>
  <c r="AN9" i="3"/>
  <c r="AN10" i="3"/>
  <c r="AN11" i="3"/>
  <c r="AN12" i="3"/>
  <c r="AN13" i="3"/>
  <c r="AN14" i="3"/>
  <c r="AN15" i="3"/>
  <c r="AN16" i="3"/>
  <c r="AN17" i="3"/>
  <c r="AN18" i="3"/>
  <c r="AN19" i="3"/>
  <c r="AN20" i="3"/>
  <c r="AN21" i="3"/>
  <c r="AN22" i="3"/>
  <c r="AN23" i="3"/>
  <c r="AN24" i="3"/>
  <c r="AN25" i="3"/>
  <c r="AN26" i="3"/>
  <c r="AN27" i="3"/>
  <c r="AN28" i="3"/>
  <c r="AN29" i="3"/>
  <c r="AN30" i="3"/>
  <c r="AN31" i="3"/>
  <c r="AN32" i="3"/>
  <c r="AN33" i="3"/>
  <c r="AN34" i="3"/>
  <c r="AN35" i="3"/>
  <c r="AN36" i="3"/>
  <c r="AN37" i="3"/>
  <c r="AN38" i="3"/>
  <c r="AN39" i="3"/>
  <c r="AN40" i="3"/>
  <c r="AN41" i="3"/>
  <c r="AN42" i="3"/>
  <c r="AN43" i="3"/>
  <c r="AN44" i="3"/>
  <c r="AN45" i="3"/>
  <c r="AN46" i="3"/>
  <c r="AN47" i="3"/>
  <c r="AN48" i="3"/>
  <c r="AN49" i="3"/>
  <c r="AN50" i="3"/>
  <c r="AN51" i="3"/>
  <c r="AN52" i="3"/>
  <c r="AM3" i="3"/>
  <c r="AM4" i="3"/>
  <c r="AM5" i="3"/>
  <c r="AM6" i="3"/>
  <c r="AM7" i="3"/>
  <c r="AM8" i="3"/>
  <c r="AM9" i="3"/>
  <c r="AM10" i="3"/>
  <c r="AM11" i="3"/>
  <c r="AM12" i="3"/>
  <c r="AM13" i="3"/>
  <c r="AM14" i="3"/>
  <c r="AM15" i="3"/>
  <c r="AM16" i="3"/>
  <c r="AM17" i="3"/>
  <c r="AM18" i="3"/>
  <c r="AM19" i="3"/>
  <c r="AM20" i="3"/>
  <c r="AM21" i="3"/>
  <c r="AM22" i="3"/>
  <c r="AM23" i="3"/>
  <c r="AM24" i="3"/>
  <c r="AM25" i="3"/>
  <c r="AM26" i="3"/>
  <c r="AM27" i="3"/>
  <c r="AM28" i="3"/>
  <c r="AM29" i="3"/>
  <c r="AM30" i="3"/>
  <c r="AM31" i="3"/>
  <c r="AM32" i="3"/>
  <c r="AM33" i="3"/>
  <c r="AM34" i="3"/>
  <c r="AM35" i="3"/>
  <c r="AM36" i="3"/>
  <c r="AM37" i="3"/>
  <c r="AM38" i="3"/>
  <c r="AM39" i="3"/>
  <c r="AM40" i="3"/>
  <c r="AM41" i="3"/>
  <c r="AM42" i="3"/>
  <c r="AM43" i="3"/>
  <c r="AM44" i="3"/>
  <c r="AM45" i="3"/>
  <c r="AM46" i="3"/>
  <c r="AM47" i="3"/>
  <c r="AM48" i="3"/>
  <c r="AM49" i="3"/>
  <c r="AM50" i="3"/>
  <c r="AM51" i="3"/>
  <c r="AM52" i="3"/>
  <c r="AL3" i="3"/>
  <c r="AL4" i="3"/>
  <c r="AL5" i="3"/>
  <c r="AL6" i="3"/>
  <c r="AL7" i="3"/>
  <c r="AL8" i="3"/>
  <c r="AL9" i="3"/>
  <c r="AL10" i="3"/>
  <c r="AL11" i="3"/>
  <c r="AL12" i="3"/>
  <c r="AL13" i="3"/>
  <c r="AL14" i="3"/>
  <c r="AL15" i="3"/>
  <c r="AL16" i="3"/>
  <c r="AL17" i="3"/>
  <c r="AL18" i="3"/>
  <c r="AL19" i="3"/>
  <c r="AL20" i="3"/>
  <c r="AL21" i="3"/>
  <c r="AL22" i="3"/>
  <c r="AL23" i="3"/>
  <c r="AL24" i="3"/>
  <c r="AL25" i="3"/>
  <c r="AL26" i="3"/>
  <c r="AL27" i="3"/>
  <c r="AL28" i="3"/>
  <c r="AL29" i="3"/>
  <c r="AL30" i="3"/>
  <c r="AL31" i="3"/>
  <c r="AL32" i="3"/>
  <c r="AL33" i="3"/>
  <c r="AL34" i="3"/>
  <c r="AL35" i="3"/>
  <c r="AL36" i="3"/>
  <c r="AL37" i="3"/>
  <c r="AL38" i="3"/>
  <c r="AL39" i="3"/>
  <c r="AL40" i="3"/>
  <c r="AL41" i="3"/>
  <c r="AL42" i="3"/>
  <c r="AL43" i="3"/>
  <c r="AL44" i="3"/>
  <c r="AL45" i="3"/>
  <c r="AL46" i="3"/>
  <c r="AL47" i="3"/>
  <c r="AL48" i="3"/>
  <c r="AL49" i="3"/>
  <c r="AL50" i="3"/>
  <c r="AL51" i="3"/>
  <c r="AL52" i="3"/>
  <c r="AC3" i="3"/>
  <c r="AC4" i="3"/>
  <c r="AC5" i="3"/>
  <c r="AC6" i="3"/>
  <c r="AC7" i="3"/>
  <c r="AC8" i="3"/>
  <c r="AC9" i="3"/>
  <c r="AC10" i="3"/>
  <c r="AC11" i="3"/>
  <c r="AC12" i="3"/>
  <c r="AC13" i="3"/>
  <c r="AC14" i="3"/>
  <c r="AC15" i="3"/>
  <c r="AC16" i="3"/>
  <c r="AC17" i="3"/>
  <c r="AC18" i="3"/>
  <c r="AC19" i="3"/>
  <c r="AC20" i="3"/>
  <c r="AC21" i="3"/>
  <c r="AC22" i="3"/>
  <c r="AC23" i="3"/>
  <c r="AC24" i="3"/>
  <c r="AC25" i="3"/>
  <c r="AC26" i="3"/>
  <c r="AC27" i="3"/>
  <c r="AC28" i="3"/>
  <c r="AC29" i="3"/>
  <c r="AC30" i="3"/>
  <c r="AC31" i="3"/>
  <c r="AC32" i="3"/>
  <c r="AC33" i="3"/>
  <c r="AC34" i="3"/>
  <c r="AC35" i="3"/>
  <c r="AC36" i="3"/>
  <c r="AC37" i="3"/>
  <c r="P3" i="3"/>
  <c r="P4" i="3"/>
  <c r="P5" i="3"/>
  <c r="P6" i="3"/>
  <c r="P7" i="3"/>
  <c r="P8" i="3"/>
  <c r="P9" i="3"/>
  <c r="P10" i="3"/>
  <c r="P11" i="3"/>
  <c r="P12" i="3"/>
  <c r="P13" i="3"/>
  <c r="P14" i="3"/>
  <c r="P15" i="3"/>
  <c r="P16" i="3"/>
  <c r="P17" i="3"/>
  <c r="P18" i="3"/>
  <c r="P19" i="3"/>
  <c r="P20" i="3"/>
  <c r="P21" i="3"/>
  <c r="P22" i="3"/>
  <c r="P23" i="3"/>
  <c r="P24" i="3"/>
  <c r="P25" i="3"/>
  <c r="P26" i="3"/>
  <c r="P27" i="3"/>
  <c r="P28" i="3"/>
  <c r="L3" i="3"/>
  <c r="L4" i="3"/>
  <c r="L5" i="3"/>
  <c r="L6" i="3"/>
  <c r="L7" i="3"/>
  <c r="L8" i="3"/>
  <c r="L9" i="3"/>
  <c r="L10" i="3"/>
  <c r="L11" i="3"/>
  <c r="L12" i="3"/>
  <c r="L13" i="3"/>
  <c r="L14" i="3"/>
  <c r="L15" i="3"/>
  <c r="L16" i="3"/>
  <c r="L17" i="3"/>
  <c r="L18" i="3"/>
  <c r="H4" i="3"/>
  <c r="H11" i="3"/>
  <c r="H3" i="3"/>
  <c r="H12" i="3"/>
  <c r="H13" i="3"/>
  <c r="H14" i="3"/>
  <c r="H15" i="3"/>
  <c r="H16" i="3"/>
  <c r="H17" i="3"/>
  <c r="H18" i="3"/>
  <c r="H19" i="3"/>
  <c r="H20" i="3"/>
  <c r="H21" i="3"/>
  <c r="H5" i="3"/>
  <c r="H7" i="3"/>
  <c r="H8" i="3"/>
  <c r="H9" i="3"/>
  <c r="H6" i="3"/>
  <c r="H10" i="3"/>
</calcChain>
</file>

<file path=xl/sharedStrings.xml><?xml version="1.0" encoding="utf-8"?>
<sst xmlns="http://schemas.openxmlformats.org/spreadsheetml/2006/main" count="803" uniqueCount="789">
  <si>
    <t>Culture</t>
  </si>
  <si>
    <t>Faith</t>
  </si>
  <si>
    <t>Dynasty</t>
  </si>
  <si>
    <t>Character ID String</t>
  </si>
  <si>
    <t>Starting ID Number</t>
  </si>
  <si>
    <t>Minimum Marriage Age</t>
  </si>
  <si>
    <t>Maximum Marriage Age</t>
  </si>
  <si>
    <t>Minimum Childbearing Age</t>
  </si>
  <si>
    <t>Maximum Childbearing Age</t>
  </si>
  <si>
    <t>Minimum Old Age Death Age</t>
  </si>
  <si>
    <t>Maximum Old Age Death Age</t>
  </si>
  <si>
    <t>Minimum Battle Death Age</t>
  </si>
  <si>
    <t>Maximum Battle Death Age</t>
  </si>
  <si>
    <t>Battle Death Chance</t>
  </si>
  <si>
    <t>Minimum Illness Death Age</t>
  </si>
  <si>
    <t>Maximum Illness Death Age</t>
  </si>
  <si>
    <t>Illness Death Chance</t>
  </si>
  <si>
    <t>Starting Character Birth Year</t>
  </si>
  <si>
    <t>Male Names</t>
  </si>
  <si>
    <t>Female Names</t>
  </si>
  <si>
    <t>Generations to be Generated</t>
  </si>
  <si>
    <t>Battle Deaths</t>
  </si>
  <si>
    <t>Weighting</t>
  </si>
  <si>
    <t>death_maimed</t>
  </si>
  <si>
    <t>death_duel</t>
  </si>
  <si>
    <t>Intrigue Death Chance</t>
  </si>
  <si>
    <t>Minimum Intrigue Death Age</t>
  </si>
  <si>
    <t>Maximum Intrigue Death Age</t>
  </si>
  <si>
    <t>death_battle</t>
  </si>
  <si>
    <t>death_fight</t>
  </si>
  <si>
    <t>death_wounds</t>
  </si>
  <si>
    <t>death_head_ripped_off</t>
  </si>
  <si>
    <t>death_cloven_in_half</t>
  </si>
  <si>
    <t>death_viciously_dismembered</t>
  </si>
  <si>
    <t>death_ripped_apart_limb_by_limb</t>
  </si>
  <si>
    <t>death_chopped_to_pieces</t>
  </si>
  <si>
    <t>death_heart_ripped_out</t>
  </si>
  <si>
    <t>death_skull_cracked_open</t>
  </si>
  <si>
    <t>death_strangled_with_own_intestines</t>
  </si>
  <si>
    <t>death_decapitated</t>
  </si>
  <si>
    <t>death_piteously_cut_down</t>
  </si>
  <si>
    <t>death_siege</t>
  </si>
  <si>
    <t>death_raid</t>
  </si>
  <si>
    <t>death_beaten</t>
  </si>
  <si>
    <t>death_attacked</t>
  </si>
  <si>
    <t>Cumulative</t>
  </si>
  <si>
    <t>Illness Deaths</t>
  </si>
  <si>
    <t>Intrigue Deaths</t>
  </si>
  <si>
    <t>death_smallpox</t>
  </si>
  <si>
    <t>death_typhus</t>
  </si>
  <si>
    <t>death_consumption</t>
  </si>
  <si>
    <t>death_cancer</t>
  </si>
  <si>
    <t>death_pneumonic</t>
  </si>
  <si>
    <t>death_leper</t>
  </si>
  <si>
    <t>death_ill</t>
  </si>
  <si>
    <t>death_gout_ridden</t>
  </si>
  <si>
    <t>death_great_pox</t>
  </si>
  <si>
    <t>death_treatment</t>
  </si>
  <si>
    <t>death_attempted_treatment</t>
  </si>
  <si>
    <t>death_bubonic_plague</t>
  </si>
  <si>
    <t>death_stress</t>
  </si>
  <si>
    <t>death_depressed</t>
  </si>
  <si>
    <t>death_malnourishment</t>
  </si>
  <si>
    <t>death_obesity</t>
  </si>
  <si>
    <t xml:space="preserve">death_murder </t>
  </si>
  <si>
    <t xml:space="preserve">death_accident </t>
  </si>
  <si>
    <t xml:space="preserve">death_ended_on_feast_table </t>
  </si>
  <si>
    <t xml:space="preserve">death_plotting </t>
  </si>
  <si>
    <t xml:space="preserve">death_script_cruelty  </t>
  </si>
  <si>
    <t xml:space="preserve">death_disappearance </t>
  </si>
  <si>
    <t xml:space="preserve">death_poison </t>
  </si>
  <si>
    <t xml:space="preserve">death_dungeon </t>
  </si>
  <si>
    <t xml:space="preserve">death_horse_riding_accident </t>
  </si>
  <si>
    <t xml:space="preserve">death_training_accident </t>
  </si>
  <si>
    <t xml:space="preserve">death_hunting_accident </t>
  </si>
  <si>
    <t xml:space="preserve">death_mysterious </t>
  </si>
  <si>
    <t xml:space="preserve">death_whipping </t>
  </si>
  <si>
    <t xml:space="preserve">death_torture </t>
  </si>
  <si>
    <t xml:space="preserve">death_vanished </t>
  </si>
  <si>
    <t xml:space="preserve">death_eaten </t>
  </si>
  <si>
    <t xml:space="preserve">death_sacrificed_to_gods </t>
  </si>
  <si>
    <t xml:space="preserve">death_burned_witch </t>
  </si>
  <si>
    <t xml:space="preserve">death_drowned </t>
  </si>
  <si>
    <t xml:space="preserve">death_fall </t>
  </si>
  <si>
    <t xml:space="preserve">death_feast_accident </t>
  </si>
  <si>
    <t xml:space="preserve">death_dog_attack </t>
  </si>
  <si>
    <t xml:space="preserve">death_ritually_hung_then_eaten </t>
  </si>
  <si>
    <t xml:space="preserve">death_ritually_hung </t>
  </si>
  <si>
    <t xml:space="preserve">death_ritually_eaten </t>
  </si>
  <si>
    <t xml:space="preserve">death_crushed </t>
  </si>
  <si>
    <t>Min (Male Age - Female Age)</t>
  </si>
  <si>
    <t>Max (Male Age - Female Age)</t>
  </si>
  <si>
    <t>Maximum Number of Children</t>
  </si>
  <si>
    <t>Additional Options</t>
  </si>
  <si>
    <t>Enforce unbroken male lines?</t>
  </si>
  <si>
    <t>Generational Old Age Reduction</t>
  </si>
  <si>
    <t>Lowest Maximum Old Age Death Age</t>
  </si>
  <si>
    <t>Lowest Maximum Childbearing Age</t>
  </si>
  <si>
    <t>Lowest Maximum Marriage Age</t>
  </si>
  <si>
    <t>Lowest Minimum Old Age Death Age</t>
  </si>
  <si>
    <t>brave</t>
  </si>
  <si>
    <t>craven</t>
  </si>
  <si>
    <t>calm</t>
  </si>
  <si>
    <t>wrathful</t>
  </si>
  <si>
    <t>chaste</t>
  </si>
  <si>
    <t>lustful</t>
  </si>
  <si>
    <t>content</t>
  </si>
  <si>
    <t>ambitious</t>
  </si>
  <si>
    <t>diligent</t>
  </si>
  <si>
    <t>lazy</t>
  </si>
  <si>
    <t>fickle</t>
  </si>
  <si>
    <t>stubborn</t>
  </si>
  <si>
    <t>forgiving</t>
  </si>
  <si>
    <t>vengeful</t>
  </si>
  <si>
    <t>generous</t>
  </si>
  <si>
    <t>greedy</t>
  </si>
  <si>
    <t>gregarious</t>
  </si>
  <si>
    <t>shy</t>
  </si>
  <si>
    <t>honest</t>
  </si>
  <si>
    <t>deceitful</t>
  </si>
  <si>
    <t>humble</t>
  </si>
  <si>
    <t>arrogant</t>
  </si>
  <si>
    <t>just</t>
  </si>
  <si>
    <t>arbitrary</t>
  </si>
  <si>
    <t>patient</t>
  </si>
  <si>
    <t>impatient</t>
  </si>
  <si>
    <t>temperate</t>
  </si>
  <si>
    <t>gluttonous</t>
  </si>
  <si>
    <t>trusting</t>
  </si>
  <si>
    <t>paranoid</t>
  </si>
  <si>
    <t>zealous</t>
  </si>
  <si>
    <t>cynical</t>
  </si>
  <si>
    <t>compassionate</t>
  </si>
  <si>
    <t>callous</t>
  </si>
  <si>
    <t>sadistic</t>
  </si>
  <si>
    <t>Nicknames</t>
  </si>
  <si>
    <t>Diplomacy</t>
  </si>
  <si>
    <t>Martial</t>
  </si>
  <si>
    <t>Skill Weightings</t>
  </si>
  <si>
    <t>Stewardship</t>
  </si>
  <si>
    <t>Intrigue</t>
  </si>
  <si>
    <t>Learning</t>
  </si>
  <si>
    <t>Prowess</t>
  </si>
  <si>
    <t>D Cumulative</t>
  </si>
  <si>
    <t>M Cumulative</t>
  </si>
  <si>
    <t>S Cumulative</t>
  </si>
  <si>
    <t>I Cumulative</t>
  </si>
  <si>
    <t>L Cumulative</t>
  </si>
  <si>
    <t>P Cumulative</t>
  </si>
  <si>
    <t>Personality Traits</t>
  </si>
  <si>
    <t>Sexuality</t>
  </si>
  <si>
    <t>heterosexual</t>
  </si>
  <si>
    <t>homosexual</t>
  </si>
  <si>
    <t>bisexual</t>
  </si>
  <si>
    <t>asexual</t>
  </si>
  <si>
    <t>nick_the_unready</t>
  </si>
  <si>
    <t>nick_the_quarreller</t>
  </si>
  <si>
    <t>nick_the_rash</t>
  </si>
  <si>
    <t>nick_the_foolish</t>
  </si>
  <si>
    <t>nick_the_hotspur</t>
  </si>
  <si>
    <t>nick_the_traitor</t>
  </si>
  <si>
    <t>nick_the_conqueror</t>
  </si>
  <si>
    <t>nick_the_great</t>
  </si>
  <si>
    <t>nick_the_hammer</t>
  </si>
  <si>
    <t>nick_the_victorious</t>
  </si>
  <si>
    <t>nick_the_lionheart</t>
  </si>
  <si>
    <t>nick_the_avenger</t>
  </si>
  <si>
    <t>nick_the_undefeated</t>
  </si>
  <si>
    <t>nick_the_triumphant</t>
  </si>
  <si>
    <t>nick_the_big_halberd</t>
  </si>
  <si>
    <t>nick_the_vanquisher</t>
  </si>
  <si>
    <t>nick_the_inevitable</t>
  </si>
  <si>
    <t>nick_the_courageous</t>
  </si>
  <si>
    <t>nick_the_brilliant</t>
  </si>
  <si>
    <t>nick_the_peacemaker</t>
  </si>
  <si>
    <t>nick_the_culture_wall</t>
  </si>
  <si>
    <t>nick_the_dragon</t>
  </si>
  <si>
    <t>nick_the_devourer</t>
  </si>
  <si>
    <t>nick_the_troubadour</t>
  </si>
  <si>
    <t>nick_the_glorious</t>
  </si>
  <si>
    <t>nick_the_ecumenist</t>
  </si>
  <si>
    <t>nick_the_sword_of_god</t>
  </si>
  <si>
    <t>nick_the_shepherd</t>
  </si>
  <si>
    <t>nick_the_judge</t>
  </si>
  <si>
    <t>nick_the_thunderbolt</t>
  </si>
  <si>
    <t>nick_the_whirlwind</t>
  </si>
  <si>
    <t>nick_the_unrestrained</t>
  </si>
  <si>
    <t>nick_the_greedy</t>
  </si>
  <si>
    <t>nick_the_timid</t>
  </si>
  <si>
    <t>nick_the_truthspeaker</t>
  </si>
  <si>
    <t>nick_the_worthy</t>
  </si>
  <si>
    <t>nick_the_unworthy</t>
  </si>
  <si>
    <t>nick_the_snorer</t>
  </si>
  <si>
    <t>nick_troll_slayer</t>
  </si>
  <si>
    <t>nick_the_unfaithful</t>
  </si>
  <si>
    <t>nick_the_quick</t>
  </si>
  <si>
    <t>nick_the_beguiling</t>
  </si>
  <si>
    <t>nick_the_lewd</t>
  </si>
  <si>
    <t>nick_the_whisperer</t>
  </si>
  <si>
    <t>nick_the_deceiver</t>
  </si>
  <si>
    <t>nick_the_crow</t>
  </si>
  <si>
    <t>nick_the_trickster</t>
  </si>
  <si>
    <t>nick_the_sly</t>
  </si>
  <si>
    <t>nick_the_mindbreaker</t>
  </si>
  <si>
    <t>nick_the_flayer</t>
  </si>
  <si>
    <t>nick_the_heartbreaker</t>
  </si>
  <si>
    <t>nick_the_fox</t>
  </si>
  <si>
    <t>nick_the_shrewd</t>
  </si>
  <si>
    <t>nick_the_gracious</t>
  </si>
  <si>
    <t>nick_the_magnanimous</t>
  </si>
  <si>
    <t>nick_the_affable</t>
  </si>
  <si>
    <t>nick_the_bard</t>
  </si>
  <si>
    <t>nick_the_diplomat</t>
  </si>
  <si>
    <t>nick_the_magnificent</t>
  </si>
  <si>
    <t>nick_the_silly</t>
  </si>
  <si>
    <t>nick_the_bully</t>
  </si>
  <si>
    <t>nick_the_architect</t>
  </si>
  <si>
    <t>nick_the_lawgiver</t>
  </si>
  <si>
    <t>nick_the_just</t>
  </si>
  <si>
    <t>nick_the_benevolent</t>
  </si>
  <si>
    <t>nick_the_generous</t>
  </si>
  <si>
    <t>nick_the_gardener</t>
  </si>
  <si>
    <t>nick_the_poet</t>
  </si>
  <si>
    <t>nick_the_selfish</t>
  </si>
  <si>
    <t>nick_the_meticulous</t>
  </si>
  <si>
    <t>nick_the_elegant</t>
  </si>
  <si>
    <t>nick_the_ironside</t>
  </si>
  <si>
    <t>nick_the_ruthless</t>
  </si>
  <si>
    <t>nick_the_brute</t>
  </si>
  <si>
    <t>nick_the_bear</t>
  </si>
  <si>
    <t>nick_the_lion</t>
  </si>
  <si>
    <t>nick_the_wolf</t>
  </si>
  <si>
    <t>nick_the_bold</t>
  </si>
  <si>
    <t>nick_the_brave</t>
  </si>
  <si>
    <t>nick_the_hunter</t>
  </si>
  <si>
    <t>nick_the_fearless</t>
  </si>
  <si>
    <t>nick_the_fowler</t>
  </si>
  <si>
    <t>nick_the_tactician</t>
  </si>
  <si>
    <t>nick_the_overseer</t>
  </si>
  <si>
    <t>nick_the_guardian</t>
  </si>
  <si>
    <t>nick_the_chivalrous</t>
  </si>
  <si>
    <t>nick_the_valiant</t>
  </si>
  <si>
    <t>nick_the_butcher</t>
  </si>
  <si>
    <t>nick_the_bloody</t>
  </si>
  <si>
    <t>nick_the_stalwart</t>
  </si>
  <si>
    <t>nick_the_merciless</t>
  </si>
  <si>
    <t>nick_the_imperious</t>
  </si>
  <si>
    <t>nick_the_fury</t>
  </si>
  <si>
    <t>nick_feareater</t>
  </si>
  <si>
    <t>nick_the_hawk</t>
  </si>
  <si>
    <t>nick_the_unrelenting</t>
  </si>
  <si>
    <t>nick_the_black_adder</t>
  </si>
  <si>
    <t>nick_the_eager</t>
  </si>
  <si>
    <t>nick_the_wise</t>
  </si>
  <si>
    <t>nick_the_scholar</t>
  </si>
  <si>
    <t>nick_the_sage</t>
  </si>
  <si>
    <t>nick_the_philosopher</t>
  </si>
  <si>
    <t>nick_the_truthseeker</t>
  </si>
  <si>
    <t>nick_the_chronicler</t>
  </si>
  <si>
    <t>nick_the_historian</t>
  </si>
  <si>
    <t>nick_the_silent</t>
  </si>
  <si>
    <t>nick_the_fishy</t>
  </si>
  <si>
    <t>nick_the_immortal</t>
  </si>
  <si>
    <t>nick_the_impaler</t>
  </si>
  <si>
    <t>nick_the_tormentor</t>
  </si>
  <si>
    <t>nick_the_depraved</t>
  </si>
  <si>
    <t>nick_the_monster</t>
  </si>
  <si>
    <t>nick_the_cruel</t>
  </si>
  <si>
    <t>nick_the_wicked</t>
  </si>
  <si>
    <t>nick_the_accursed</t>
  </si>
  <si>
    <t>nick_the_devil</t>
  </si>
  <si>
    <t>nick_the_black</t>
  </si>
  <si>
    <t>nick_the_oathbreaker</t>
  </si>
  <si>
    <t>nick_the_demon</t>
  </si>
  <si>
    <t>nick_the_theologian</t>
  </si>
  <si>
    <t>nick_the_enlightened</t>
  </si>
  <si>
    <t>nick_the_holy</t>
  </si>
  <si>
    <t>nick_the_confessor</t>
  </si>
  <si>
    <t>nick_the_divine</t>
  </si>
  <si>
    <t>nick_the_anointed</t>
  </si>
  <si>
    <t>nick_the_flash</t>
  </si>
  <si>
    <t>nick_the_passionate</t>
  </si>
  <si>
    <t>nick_the_able</t>
  </si>
  <si>
    <t>nick_the_compassionate</t>
  </si>
  <si>
    <t>nick_the_noble</t>
  </si>
  <si>
    <t>NO NICKNAME</t>
  </si>
  <si>
    <t>Education Tier</t>
  </si>
  <si>
    <t>Hero Skill Buff Minimum</t>
  </si>
  <si>
    <t>Hero Skill Buff Maximum</t>
  </si>
  <si>
    <t>Hero Chance</t>
  </si>
  <si>
    <t>Jamie's Handy Character History Generator v1.0</t>
  </si>
  <si>
    <t>This tool is something that I built to make the creation of character history files significantly faster by randomly generating families and automatically writing these to a character history file.
While I made this tool to make filling out new areas in our LotR: Realms in Exile mod much more efficient, I wanted to share it with the wider modding community to help speed up what can be quite a laborious (and boring!) process.  No attribution is necessary and any modders are free to use and edit the tool to their heart's content.
Note that this tool is simply designed to speed up the process of getting a first draft family that can then be refined manually.  As such, don't expect any advanced modeling of things like incest, changing faiths or inter-dynasty links. :P</t>
  </si>
  <si>
    <t>Generations of Siblings</t>
  </si>
  <si>
    <t>How the generator works</t>
  </si>
  <si>
    <t>Useful reference</t>
  </si>
  <si>
    <t>I hope that the tool is fairly self explanatory, but for the avoidance of doubt, see below:</t>
  </si>
  <si>
    <r>
      <rPr>
        <b/>
        <sz val="11"/>
        <color theme="1"/>
        <rFont val="Calibri"/>
        <family val="2"/>
        <scheme val="minor"/>
      </rPr>
      <t xml:space="preserve">Options
</t>
    </r>
    <r>
      <rPr>
        <sz val="11"/>
        <color theme="1"/>
        <rFont val="Calibri"/>
        <family val="2"/>
        <scheme val="minor"/>
      </rPr>
      <t xml:space="preserve">Then specify the various options that give you control over the type of information that is generated:
</t>
    </r>
    <r>
      <rPr>
        <b/>
        <sz val="11"/>
        <color theme="1"/>
        <rFont val="Calibri"/>
        <family val="2"/>
        <scheme val="minor"/>
      </rPr>
      <t xml:space="preserve">Enforce unbroken male lines: </t>
    </r>
    <r>
      <rPr>
        <i/>
        <sz val="11"/>
        <color theme="1"/>
        <rFont val="Calibri"/>
        <family val="2"/>
        <scheme val="minor"/>
      </rPr>
      <t xml:space="preserve">When True, this option will ensure that there is always a male in any set of children to be able to build the next generation.  When False, this is not guaranteed and may result in the tree not being able to generate th full number of generations.
</t>
    </r>
    <r>
      <rPr>
        <b/>
        <sz val="11"/>
        <color theme="1"/>
        <rFont val="Calibri"/>
        <family val="2"/>
        <scheme val="minor"/>
      </rPr>
      <t xml:space="preserve">Add Numenorian blood traits: </t>
    </r>
    <r>
      <rPr>
        <i/>
        <sz val="11"/>
        <color theme="1"/>
        <rFont val="Calibri"/>
        <family val="2"/>
        <scheme val="minor"/>
      </rPr>
      <t xml:space="preserve">This is for Lord of the Rings, keep it to False.
</t>
    </r>
    <r>
      <rPr>
        <b/>
        <sz val="11"/>
        <color theme="1"/>
        <rFont val="Calibri"/>
        <family val="2"/>
        <scheme val="minor"/>
      </rPr>
      <t xml:space="preserve">Add sexuality: </t>
    </r>
    <r>
      <rPr>
        <i/>
        <sz val="11"/>
        <color theme="1"/>
        <rFont val="Calibri"/>
        <family val="2"/>
        <scheme val="minor"/>
      </rPr>
      <t xml:space="preserve">When True, sexuality will be randomly defined for each character defined by the weights given to each option in the Tables tab.
</t>
    </r>
    <r>
      <rPr>
        <b/>
        <sz val="11"/>
        <color theme="1"/>
        <rFont val="Calibri"/>
        <family val="2"/>
        <scheme val="minor"/>
      </rPr>
      <t>Add nicknames:</t>
    </r>
    <r>
      <rPr>
        <i/>
        <sz val="11"/>
        <color theme="1"/>
        <rFont val="Calibri"/>
        <family val="2"/>
        <scheme val="minor"/>
      </rPr>
      <t xml:space="preserve"> When True, nicknames will be randomly defined for each character defined by the weights given to each option in the Tables tab.  NO NICKNAME should always be at the top of the table and its weight determines the chance of no nickname being assigned.
</t>
    </r>
    <r>
      <rPr>
        <b/>
        <sz val="11"/>
        <color theme="1"/>
        <rFont val="Calibri"/>
        <family val="2"/>
        <scheme val="minor"/>
      </rPr>
      <t>Add personality traits:</t>
    </r>
    <r>
      <rPr>
        <i/>
        <sz val="11"/>
        <color theme="1"/>
        <rFont val="Calibri"/>
        <family val="2"/>
        <scheme val="minor"/>
      </rPr>
      <t xml:space="preserve"> When True, three personality traits will be randomly defined for each character defined by the weights given to each option in the Tables tab.
</t>
    </r>
    <r>
      <rPr>
        <b/>
        <sz val="11"/>
        <color theme="1"/>
        <rFont val="Calibri"/>
        <family val="2"/>
        <scheme val="minor"/>
      </rPr>
      <t>Add skills:</t>
    </r>
    <r>
      <rPr>
        <i/>
        <sz val="11"/>
        <color theme="1"/>
        <rFont val="Calibri"/>
        <family val="2"/>
        <scheme val="minor"/>
      </rPr>
      <t xml:space="preserve"> When True, skills will be randomly defined for each character defined by the weights given to each option in the Tables tab.
</t>
    </r>
    <r>
      <rPr>
        <b/>
        <sz val="11"/>
        <color theme="1"/>
        <rFont val="Calibri"/>
        <family val="2"/>
        <scheme val="minor"/>
      </rPr>
      <t>Add education:</t>
    </r>
    <r>
      <rPr>
        <i/>
        <sz val="11"/>
        <color theme="1"/>
        <rFont val="Calibri"/>
        <family val="2"/>
        <scheme val="minor"/>
      </rPr>
      <t xml:space="preserve"> Requires the 'Add skills' option to be True to work.  When True, an education will be defined for each character based on their highest skill with a level randomly defined by the weights given to each option in the Tables tab.
</t>
    </r>
    <r>
      <rPr>
        <b/>
        <sz val="11"/>
        <color theme="1"/>
        <rFont val="Calibri"/>
        <family val="2"/>
        <scheme val="minor"/>
      </rPr>
      <t>Add heroes:</t>
    </r>
    <r>
      <rPr>
        <i/>
        <sz val="11"/>
        <color theme="1"/>
        <rFont val="Calibri"/>
        <family val="2"/>
        <scheme val="minor"/>
      </rPr>
      <t xml:space="preserve"> Requires the 'Add skills' option to be True to work.  When True, male characters will be randomly selected based on the 'Hero Chance' value to receive a skill boost to all skills to create exceptional characters.
</t>
    </r>
    <r>
      <rPr>
        <b/>
        <sz val="11"/>
        <color theme="1"/>
        <rFont val="Calibri"/>
        <family val="2"/>
        <scheme val="minor"/>
      </rPr>
      <t xml:space="preserve">Use name loc keys: </t>
    </r>
    <r>
      <rPr>
        <i/>
        <sz val="11"/>
        <color theme="1"/>
        <rFont val="Calibri"/>
        <family val="2"/>
        <scheme val="minor"/>
      </rPr>
      <t xml:space="preserve">Used to define whether the names used in your namelists in the Tables tabs are localisation keys or text values.  True will expect localisation keys and so will not enclose the value between "s.
</t>
    </r>
  </si>
  <si>
    <r>
      <rPr>
        <b/>
        <sz val="11"/>
        <color theme="1"/>
        <rFont val="Calibri"/>
        <family val="2"/>
        <scheme val="minor"/>
      </rPr>
      <t xml:space="preserve">Tables
</t>
    </r>
    <r>
      <rPr>
        <sz val="11"/>
        <color theme="1"/>
        <rFont val="Calibri"/>
        <family val="2"/>
        <scheme val="minor"/>
      </rPr>
      <t>The tables tab is used to specify the random values that can be selected by the generator.  Where weights are listed, these can be used to make certain values more likely to be randomly selection, with the chance of a selection being the weight of a value divided by the sum of all weights.</t>
    </r>
    <r>
      <rPr>
        <i/>
        <sz val="11"/>
        <color theme="1"/>
        <rFont val="Calibri"/>
        <family val="2"/>
        <scheme val="minor"/>
      </rPr>
      <t xml:space="preserve">
</t>
    </r>
    <r>
      <rPr>
        <sz val="11"/>
        <color theme="1"/>
        <rFont val="Calibri"/>
        <family val="2"/>
        <scheme val="minor"/>
      </rPr>
      <t xml:space="preserve">
These use table objects in Excel and so you should be able to add your own values to the list (e.g. if you have your own mod's nicknames or death causes) and they'll be considered.  If you ever need to use fewer items that are currently in a list (e.g. the name lists) then you'll need to highlight the empty rows in the table, right click, delete and table rows to make sure that blanks aren't returned.</t>
    </r>
  </si>
  <si>
    <t>Support</t>
  </si>
  <si>
    <t>Unfortunately, due to recently becoming a Dad, my time is somewhat limited these days and I'm not as good at being able to keep up with the modding Coop as I used to be, with all my limited modding time currently devoted to Realms in Exile.
However, if you're really in a bind with the tool, feel free to drop me a DM on Discord and I'll do what I can to help when I have spare time.</t>
  </si>
  <si>
    <t>Hope you all find the tool useful and can spend more of your time adding flavour to your characters rather than slaving away adding character after character in a text editor!</t>
  </si>
  <si>
    <t>Much love</t>
  </si>
  <si>
    <t>Jamie-san</t>
  </si>
  <si>
    <t>Add Numenorian blood traits?</t>
  </si>
  <si>
    <t>Add sexuality?</t>
  </si>
  <si>
    <t>Add nicknames?</t>
  </si>
  <si>
    <t>Add personality traits?</t>
  </si>
  <si>
    <t>Add skills?</t>
  </si>
  <si>
    <t>Add education? (Requires Skills)</t>
  </si>
  <si>
    <t>Add heroes? (Requires Skills)</t>
  </si>
  <si>
    <t>Use name loc keys</t>
  </si>
  <si>
    <r>
      <rPr>
        <b/>
        <sz val="11"/>
        <color theme="1"/>
        <rFont val="Calibri"/>
        <family val="2"/>
        <scheme val="minor"/>
      </rPr>
      <t xml:space="preserve">Inputs values
</t>
    </r>
    <r>
      <rPr>
        <sz val="11"/>
        <color theme="1"/>
        <rFont val="Calibri"/>
        <family val="2"/>
        <scheme val="minor"/>
      </rPr>
      <t xml:space="preserve">First go to the Inputs tab and fill out each data item (WARNING - I haven't added any data validation to these values so putting in numbers that are odd might result in odd output or even crashes).  I've explained some of the less obvious fields below:
</t>
    </r>
    <r>
      <rPr>
        <b/>
        <sz val="11"/>
        <color theme="1"/>
        <rFont val="Calibri"/>
        <family val="2"/>
        <scheme val="minor"/>
      </rPr>
      <t xml:space="preserve">Character ID String: </t>
    </r>
    <r>
      <rPr>
        <i/>
        <sz val="11"/>
        <color theme="1"/>
        <rFont val="Calibri"/>
        <family val="2"/>
        <scheme val="minor"/>
      </rPr>
      <t xml:space="preserve">The common tag that will be used to identify individual family members.
</t>
    </r>
    <r>
      <rPr>
        <b/>
        <sz val="11"/>
        <color theme="1"/>
        <rFont val="Calibri"/>
        <family val="2"/>
        <scheme val="minor"/>
      </rPr>
      <t xml:space="preserve">Starting ID Number: </t>
    </r>
    <r>
      <rPr>
        <i/>
        <sz val="11"/>
        <color theme="1"/>
        <rFont val="Calibri"/>
        <family val="2"/>
        <scheme val="minor"/>
      </rPr>
      <t>The numerical index to be used for the first character generated.</t>
    </r>
    <r>
      <rPr>
        <sz val="11"/>
        <color theme="1"/>
        <rFont val="Calibri"/>
        <family val="2"/>
        <scheme val="minor"/>
      </rPr>
      <t xml:space="preserve">
</t>
    </r>
    <r>
      <rPr>
        <b/>
        <sz val="11"/>
        <color theme="1"/>
        <rFont val="Calibri"/>
        <family val="2"/>
        <scheme val="minor"/>
      </rPr>
      <t xml:space="preserve">Starting Character Birth Year: </t>
    </r>
    <r>
      <rPr>
        <i/>
        <sz val="11"/>
        <color theme="1"/>
        <rFont val="Calibri"/>
        <family val="2"/>
        <scheme val="minor"/>
      </rPr>
      <t xml:space="preserve">The birth year of the founding member of this family.
</t>
    </r>
    <r>
      <rPr>
        <b/>
        <sz val="11"/>
        <color theme="1"/>
        <rFont val="Calibri"/>
        <family val="2"/>
        <scheme val="minor"/>
      </rPr>
      <t xml:space="preserve">Generations to be Generated: </t>
    </r>
    <r>
      <rPr>
        <i/>
        <sz val="11"/>
        <color theme="1"/>
        <rFont val="Calibri"/>
        <family val="2"/>
        <scheme val="minor"/>
      </rPr>
      <t xml:space="preserve">The number of generations to model before the generation ends.
</t>
    </r>
    <r>
      <rPr>
        <b/>
        <sz val="11"/>
        <color theme="1"/>
        <rFont val="Calibri"/>
        <family val="2"/>
        <scheme val="minor"/>
      </rPr>
      <t>Generations of Siblings:</t>
    </r>
    <r>
      <rPr>
        <sz val="11"/>
        <color theme="1"/>
        <rFont val="Calibri"/>
        <family val="2"/>
        <scheme val="minor"/>
      </rPr>
      <t xml:space="preserve"> </t>
    </r>
    <r>
      <rPr>
        <i/>
        <sz val="11"/>
        <color theme="1"/>
        <rFont val="Calibri"/>
        <family val="2"/>
        <scheme val="minor"/>
      </rPr>
      <t xml:space="preserve">The number of generations from the end where siblings will be generated.
</t>
    </r>
    <r>
      <rPr>
        <b/>
        <sz val="11"/>
        <color theme="1"/>
        <rFont val="Calibri"/>
        <family val="2"/>
        <scheme val="minor"/>
      </rPr>
      <t xml:space="preserve">Generational Old Age Reduction: </t>
    </r>
    <r>
      <rPr>
        <i/>
        <sz val="11"/>
        <color theme="1"/>
        <rFont val="Calibri"/>
        <family val="2"/>
        <scheme val="minor"/>
      </rPr>
      <t xml:space="preserve">The reduction in life expectancy each generation.  This is for Lord of the Rings, but I kept it in just in case it's useful to anyone.  Set to zero for no decline.
</t>
    </r>
    <r>
      <rPr>
        <b/>
        <sz val="11"/>
        <color theme="1"/>
        <rFont val="Calibri"/>
        <family val="2"/>
        <scheme val="minor"/>
      </rPr>
      <t>Lowest... Death Age:</t>
    </r>
    <r>
      <rPr>
        <b/>
        <i/>
        <sz val="11"/>
        <color theme="1"/>
        <rFont val="Calibri"/>
        <family val="2"/>
        <scheme val="minor"/>
      </rPr>
      <t xml:space="preserve"> </t>
    </r>
    <r>
      <rPr>
        <i/>
        <sz val="11"/>
        <color theme="1"/>
        <rFont val="Calibri"/>
        <family val="2"/>
        <scheme val="minor"/>
      </rPr>
      <t xml:space="preserve">Again, this is for Lord of the Rings.  These limit the extent to which life expectancies can decline.  Setting these to zero should ensure they have no effect.
</t>
    </r>
    <r>
      <rPr>
        <b/>
        <sz val="11"/>
        <color theme="1"/>
        <rFont val="Calibri"/>
        <family val="2"/>
        <scheme val="minor"/>
      </rPr>
      <t xml:space="preserve">Hero Chance: </t>
    </r>
    <r>
      <rPr>
        <i/>
        <sz val="11"/>
        <color theme="1"/>
        <rFont val="Calibri"/>
        <family val="2"/>
        <scheme val="minor"/>
      </rPr>
      <t xml:space="preserve">Where the Heroes option is selected, this is the chance that any given male character will receive a skill buff.
</t>
    </r>
    <r>
      <rPr>
        <b/>
        <sz val="11"/>
        <color theme="1"/>
        <rFont val="Calibri"/>
        <family val="2"/>
        <scheme val="minor"/>
      </rPr>
      <t xml:space="preserve">Hero Skill Buff Minimum/Maximum: </t>
    </r>
    <r>
      <rPr>
        <sz val="11"/>
        <color theme="1"/>
        <rFont val="Calibri"/>
        <family val="2"/>
        <scheme val="minor"/>
      </rPr>
      <t>The range of possible skill increases for those selected as heroes.</t>
    </r>
  </si>
  <si>
    <t>The tool generates males of the dynasty and a random lowborn wife, using the values set out in the Inputs tab to define when key life events should occur (i.e. birth, marriage, childbirth and death).  Cause and age of death is determined based on the values defined in Inputs and the weightings given to each death type within a group in the Tables tab.
It will generate an unbroken line of males to the point where siblings have been specified to be generated.  From that point it will generate a random number of children up to the value specified in Inputs (with a 50:50 chance of Male:Female).  No further family is generated for female children.  Male children will get a random lowborn wife and go on to have their own children unless they hit the generation limit.
The results will be saved to a .txt file called generated_character_history.txt in the same location as the spreadsheet is saved.</t>
  </si>
  <si>
    <t>Will generate valid title history when unbroken male lines is selected.</t>
  </si>
  <si>
    <t>(Will need to be scanned to look for premature deaths)</t>
  </si>
  <si>
    <t>Message popups will show (Birth-Death) dates of all males in last generation.</t>
  </si>
  <si>
    <t>Hareth</t>
  </si>
  <si>
    <t>the_old_gods</t>
  </si>
  <si>
    <t>Arnolf</t>
  </si>
  <si>
    <t>Arthor</t>
  </si>
  <si>
    <t>Artos</t>
  </si>
  <si>
    <t>Bernarr</t>
  </si>
  <si>
    <t>Beron</t>
  </si>
  <si>
    <t>Byam</t>
  </si>
  <si>
    <t>Calon</t>
  </si>
  <si>
    <t>Cayn</t>
  </si>
  <si>
    <t>Cregan</t>
  </si>
  <si>
    <t>Danny</t>
  </si>
  <si>
    <t>Dorren</t>
  </si>
  <si>
    <t>Dywen</t>
  </si>
  <si>
    <t>Eyron</t>
  </si>
  <si>
    <t>Galbart</t>
  </si>
  <si>
    <t>Gariss</t>
  </si>
  <si>
    <t>Hallis</t>
  </si>
  <si>
    <t>Halys</t>
  </si>
  <si>
    <t>Harlon</t>
  </si>
  <si>
    <t>Harmond</t>
  </si>
  <si>
    <t>Jeor</t>
  </si>
  <si>
    <t>Jojen</t>
  </si>
  <si>
    <t>Joseth</t>
  </si>
  <si>
    <t>Karlon</t>
  </si>
  <si>
    <t>Medger</t>
  </si>
  <si>
    <t>Mikken</t>
  </si>
  <si>
    <t>Mors</t>
  </si>
  <si>
    <t>Ondrew</t>
  </si>
  <si>
    <t>Owen</t>
  </si>
  <si>
    <t>Qhorin</t>
  </si>
  <si>
    <t>Quent</t>
  </si>
  <si>
    <t>Torghen</t>
  </si>
  <si>
    <t>Vayon</t>
  </si>
  <si>
    <t>Walton</t>
  </si>
  <si>
    <t>Wayn</t>
  </si>
  <si>
    <t>Yoren</t>
  </si>
  <si>
    <t>Alys</t>
  </si>
  <si>
    <t>Beth</t>
  </si>
  <si>
    <t>Erena</t>
  </si>
  <si>
    <t>Harra</t>
  </si>
  <si>
    <t>Jonella</t>
  </si>
  <si>
    <t>Jonnela</t>
  </si>
  <si>
    <t>Jorelle</t>
  </si>
  <si>
    <t>Jyana</t>
  </si>
  <si>
    <t>Kyra</t>
  </si>
  <si>
    <t>Larra</t>
  </si>
  <si>
    <t>Lyra</t>
  </si>
  <si>
    <t>Maege</t>
  </si>
  <si>
    <t>Meera</t>
  </si>
  <si>
    <t>Morra</t>
  </si>
  <si>
    <t>Palla</t>
  </si>
  <si>
    <t>Sansa</t>
  </si>
  <si>
    <t>Sera</t>
  </si>
  <si>
    <t>Frenya</t>
  </si>
  <si>
    <t>Ygritte</t>
  </si>
  <si>
    <t>Craster</t>
  </si>
  <si>
    <t>Mance</t>
  </si>
  <si>
    <t>Styr</t>
  </si>
  <si>
    <t>Osha</t>
  </si>
  <si>
    <t>Eva</t>
  </si>
  <si>
    <t>Berta</t>
  </si>
  <si>
    <t>Bran</t>
  </si>
  <si>
    <t>Gorm</t>
  </si>
  <si>
    <t>Grim</t>
  </si>
  <si>
    <t>Hakon</t>
  </si>
  <si>
    <t>Odd</t>
  </si>
  <si>
    <t>Adol</t>
  </si>
  <si>
    <t>Aethon</t>
  </si>
  <si>
    <t>Alder</t>
  </si>
  <si>
    <t>Ale</t>
  </si>
  <si>
    <t>Alfyn</t>
  </si>
  <si>
    <t>Allan</t>
  </si>
  <si>
    <t>Aragr</t>
  </si>
  <si>
    <t>Arald</t>
  </si>
  <si>
    <t>Ardle</t>
  </si>
  <si>
    <t>Arne</t>
  </si>
  <si>
    <t>Arson</t>
  </si>
  <si>
    <t>Bael</t>
  </si>
  <si>
    <t>Baerik</t>
  </si>
  <si>
    <t>Bagir</t>
  </si>
  <si>
    <t>Bal</t>
  </si>
  <si>
    <t>Balder</t>
  </si>
  <si>
    <t>Balkar</t>
  </si>
  <si>
    <t>Balyg</t>
  </si>
  <si>
    <t>Bamirr</t>
  </si>
  <si>
    <t>Ban</t>
  </si>
  <si>
    <t>Barkar</t>
  </si>
  <si>
    <t>Barkund</t>
  </si>
  <si>
    <t>Barr</t>
  </si>
  <si>
    <t>Beor</t>
  </si>
  <si>
    <t>Bili</t>
  </si>
  <si>
    <t>Bjormir</t>
  </si>
  <si>
    <t>Bodger</t>
  </si>
  <si>
    <t>Boland</t>
  </si>
  <si>
    <t>Boradir</t>
  </si>
  <si>
    <t>Borald</t>
  </si>
  <si>
    <t>Borroq</t>
  </si>
  <si>
    <t>Briar</t>
  </si>
  <si>
    <t>Brogg</t>
  </si>
  <si>
    <t>Bump</t>
  </si>
  <si>
    <t>Byll</t>
  </si>
  <si>
    <t>Caltram</t>
  </si>
  <si>
    <t>Canan</t>
  </si>
  <si>
    <t>Casey</t>
  </si>
  <si>
    <t>Caster</t>
  </si>
  <si>
    <t>Conall</t>
  </si>
  <si>
    <t>Cory</t>
  </si>
  <si>
    <t>Curt</t>
  </si>
  <si>
    <t>Curtshanks</t>
  </si>
  <si>
    <t>Dan</t>
  </si>
  <si>
    <t>Daran</t>
  </si>
  <si>
    <t>Darkul</t>
  </si>
  <si>
    <t>Darkund</t>
  </si>
  <si>
    <t>Darr</t>
  </si>
  <si>
    <t>Davin</t>
  </si>
  <si>
    <t>Davy</t>
  </si>
  <si>
    <t>Del</t>
  </si>
  <si>
    <t>Devyn</t>
  </si>
  <si>
    <t>Dok</t>
  </si>
  <si>
    <t>Doln</t>
  </si>
  <si>
    <t>Dolner</t>
  </si>
  <si>
    <t>Domlech</t>
  </si>
  <si>
    <t>Dormund</t>
  </si>
  <si>
    <t>Doss</t>
  </si>
  <si>
    <t>Doval</t>
  </si>
  <si>
    <t>Drad</t>
  </si>
  <si>
    <t>Drald</t>
  </si>
  <si>
    <t>Dran</t>
  </si>
  <si>
    <t>Drest</t>
  </si>
  <si>
    <t>Drik</t>
  </si>
  <si>
    <t>Dryd</t>
  </si>
  <si>
    <t>Drydil</t>
  </si>
  <si>
    <t>Dryk</t>
  </si>
  <si>
    <t>Drykamar</t>
  </si>
  <si>
    <t>Dryn</t>
  </si>
  <si>
    <t>Dyre</t>
  </si>
  <si>
    <t>Egil</t>
  </si>
  <si>
    <t>Erik</t>
  </si>
  <si>
    <t>Erpin</t>
  </si>
  <si>
    <t>Errok</t>
  </si>
  <si>
    <t>Farnor</t>
  </si>
  <si>
    <t>Fayn</t>
  </si>
  <si>
    <t>Galem</t>
  </si>
  <si>
    <t>Garkul</t>
  </si>
  <si>
    <t>Garok</t>
  </si>
  <si>
    <t>Gavin</t>
  </si>
  <si>
    <t>Gede</t>
  </si>
  <si>
    <t>Geir</t>
  </si>
  <si>
    <t>Gendel</t>
  </si>
  <si>
    <t>Gerrick</t>
  </si>
  <si>
    <t>Gerry</t>
  </si>
  <si>
    <t>Gert</t>
  </si>
  <si>
    <t>Gest</t>
  </si>
  <si>
    <t>Gomir</t>
  </si>
  <si>
    <t>Goran</t>
  </si>
  <si>
    <t>Gorigar</t>
  </si>
  <si>
    <t>Gormund</t>
  </si>
  <si>
    <t>Gorn</t>
  </si>
  <si>
    <t>Gorne</t>
  </si>
  <si>
    <t>Gornegg</t>
  </si>
  <si>
    <t>Gornlak</t>
  </si>
  <si>
    <t>Gotamyr</t>
  </si>
  <si>
    <t>Grag</t>
  </si>
  <si>
    <t>Gred</t>
  </si>
  <si>
    <t>Grigg</t>
  </si>
  <si>
    <t>Grolaf</t>
  </si>
  <si>
    <t>Groval</t>
  </si>
  <si>
    <t>Grunnor</t>
  </si>
  <si>
    <t>Gunnar</t>
  </si>
  <si>
    <t>Haggon</t>
  </si>
  <si>
    <t>Halleck</t>
  </si>
  <si>
    <t>Hankar</t>
  </si>
  <si>
    <t>Haran</t>
  </si>
  <si>
    <t>Harigg</t>
  </si>
  <si>
    <t>Harkul</t>
  </si>
  <si>
    <t>Harle</t>
  </si>
  <si>
    <t>Harodr</t>
  </si>
  <si>
    <t>Henk</t>
  </si>
  <si>
    <t>Howd</t>
  </si>
  <si>
    <t>Hranik</t>
  </si>
  <si>
    <t>Hygner</t>
  </si>
  <si>
    <t>Isrand</t>
  </si>
  <si>
    <t>Isyger</t>
  </si>
  <si>
    <t>Jagni</t>
  </si>
  <si>
    <t>Jarald</t>
  </si>
  <si>
    <t>Jarl</t>
  </si>
  <si>
    <t>Jhon</t>
  </si>
  <si>
    <t>Jorakul</t>
  </si>
  <si>
    <t>Joramun</t>
  </si>
  <si>
    <t>Joran</t>
  </si>
  <si>
    <t>Joraval</t>
  </si>
  <si>
    <t>Joravar</t>
  </si>
  <si>
    <t>Jormund</t>
  </si>
  <si>
    <t>Jyk</t>
  </si>
  <si>
    <t>Jym</t>
  </si>
  <si>
    <t>Kran</t>
  </si>
  <si>
    <t>Kul</t>
  </si>
  <si>
    <t>Kyleg</t>
  </si>
  <si>
    <t>Leck</t>
  </si>
  <si>
    <t>Lenn</t>
  </si>
  <si>
    <t>Lenyl</t>
  </si>
  <si>
    <t>Lokamun</t>
  </si>
  <si>
    <t>Lorn</t>
  </si>
  <si>
    <t>Lutrin</t>
  </si>
  <si>
    <t>Mael</t>
  </si>
  <si>
    <t>Maelchon</t>
  </si>
  <si>
    <t>Magorn</t>
  </si>
  <si>
    <t>Magrun</t>
  </si>
  <si>
    <t>Manath</t>
  </si>
  <si>
    <t>Marl</t>
  </si>
  <si>
    <t>Mat</t>
  </si>
  <si>
    <t>Mavin</t>
  </si>
  <si>
    <t>Mor</t>
  </si>
  <si>
    <t>Myk</t>
  </si>
  <si>
    <t>Naregg</t>
  </si>
  <si>
    <t>Narr</t>
  </si>
  <si>
    <t>Nils</t>
  </si>
  <si>
    <t>Noll</t>
  </si>
  <si>
    <t>Nord</t>
  </si>
  <si>
    <t>Nordar</t>
  </si>
  <si>
    <t>Orand</t>
  </si>
  <si>
    <t>Oreg</t>
  </si>
  <si>
    <t>Orell</t>
  </si>
  <si>
    <t>Orl</t>
  </si>
  <si>
    <t>Orleck</t>
  </si>
  <si>
    <t>Orm</t>
  </si>
  <si>
    <t>Ornmir</t>
  </si>
  <si>
    <t>Orvir</t>
  </si>
  <si>
    <t>Ottar</t>
  </si>
  <si>
    <t>Qorn</t>
  </si>
  <si>
    <t>Quort</t>
  </si>
  <si>
    <t>Radir</t>
  </si>
  <si>
    <t>Ragnar</t>
  </si>
  <si>
    <t>Ragrad</t>
  </si>
  <si>
    <t>Ragy</t>
  </si>
  <si>
    <t>Rance</t>
  </si>
  <si>
    <t>Rand</t>
  </si>
  <si>
    <t>Raudill</t>
  </si>
  <si>
    <t>Raymun</t>
  </si>
  <si>
    <t>Raymund</t>
  </si>
  <si>
    <t>Redbreeches</t>
  </si>
  <si>
    <t>Rhodry</t>
  </si>
  <si>
    <t>Rigg</t>
  </si>
  <si>
    <t>Rook</t>
  </si>
  <si>
    <t>Rory</t>
  </si>
  <si>
    <t>Rubert</t>
  </si>
  <si>
    <t>Rudri</t>
  </si>
  <si>
    <t>Ryk</t>
  </si>
  <si>
    <t>Ryn</t>
  </si>
  <si>
    <t>Sigorn</t>
  </si>
  <si>
    <t>Skagni</t>
  </si>
  <si>
    <t>Skamun</t>
  </si>
  <si>
    <t>Skar</t>
  </si>
  <si>
    <t>Skarnir</t>
  </si>
  <si>
    <t>Skarolf</t>
  </si>
  <si>
    <t>Skaval</t>
  </si>
  <si>
    <t>Soren</t>
  </si>
  <si>
    <t>Steig</t>
  </si>
  <si>
    <t>Stek</t>
  </si>
  <si>
    <t>Stilner</t>
  </si>
  <si>
    <t>Stiv</t>
  </si>
  <si>
    <t>Stynar</t>
  </si>
  <si>
    <t>Styrnor</t>
  </si>
  <si>
    <t>Svem</t>
  </si>
  <si>
    <t>Svenar</t>
  </si>
  <si>
    <t>Taran</t>
  </si>
  <si>
    <t>Thom</t>
  </si>
  <si>
    <t>Thorald</t>
  </si>
  <si>
    <t>Thorand</t>
  </si>
  <si>
    <t>Thorik</t>
  </si>
  <si>
    <t>Toke</t>
  </si>
  <si>
    <t>Toramun</t>
  </si>
  <si>
    <t>Toran</t>
  </si>
  <si>
    <t>Torbund</t>
  </si>
  <si>
    <t>Tore</t>
  </si>
  <si>
    <t>Toregg</t>
  </si>
  <si>
    <t>Torenir</t>
  </si>
  <si>
    <t>Tormun</t>
  </si>
  <si>
    <t>Tormund</t>
  </si>
  <si>
    <t>Torod</t>
  </si>
  <si>
    <t>Torwynd</t>
  </si>
  <si>
    <t>Tyk</t>
  </si>
  <si>
    <t>Tym</t>
  </si>
  <si>
    <t>Unen</t>
  </si>
  <si>
    <t>Valmund</t>
  </si>
  <si>
    <t>Valon</t>
  </si>
  <si>
    <t>Valorn</t>
  </si>
  <si>
    <t>Valv</t>
  </si>
  <si>
    <t>Varad</t>
  </si>
  <si>
    <t>Varald</t>
  </si>
  <si>
    <t>Varamyr</t>
  </si>
  <si>
    <t>Varn</t>
  </si>
  <si>
    <t>Vorel</t>
  </si>
  <si>
    <t>Vorwynd</t>
  </si>
  <si>
    <t>Wallen</t>
  </si>
  <si>
    <t>Wit</t>
  </si>
  <si>
    <t>Worg</t>
  </si>
  <si>
    <t>Wulf</t>
  </si>
  <si>
    <t>Yarold</t>
  </si>
  <si>
    <t>Ygon</t>
  </si>
  <si>
    <t>Abrella</t>
  </si>
  <si>
    <t>Ada</t>
  </si>
  <si>
    <t>Alcea</t>
  </si>
  <si>
    <t>Ally</t>
  </si>
  <si>
    <t>Aly</t>
  </si>
  <si>
    <t>Anesa</t>
  </si>
  <si>
    <t>Anise</t>
  </si>
  <si>
    <t>Ash</t>
  </si>
  <si>
    <t>Astera</t>
  </si>
  <si>
    <t>Bells</t>
  </si>
  <si>
    <t>Berny</t>
  </si>
  <si>
    <t>Betony</t>
  </si>
  <si>
    <t>Bluebell</t>
  </si>
  <si>
    <t>Bonny</t>
  </si>
  <si>
    <t>Brella</t>
  </si>
  <si>
    <t>Brigit</t>
  </si>
  <si>
    <t>Bryony</t>
  </si>
  <si>
    <t>Buttercup</t>
  </si>
  <si>
    <t>Caminda</t>
  </si>
  <si>
    <t>Cana</t>
  </si>
  <si>
    <t>Canna</t>
  </si>
  <si>
    <t>Cassia</t>
  </si>
  <si>
    <t>Cassie</t>
  </si>
  <si>
    <t>Cedara</t>
  </si>
  <si>
    <t>Cherra</t>
  </si>
  <si>
    <t>Chicory</t>
  </si>
  <si>
    <t>Cicely</t>
  </si>
  <si>
    <t>Clary</t>
  </si>
  <si>
    <t>Clematis</t>
  </si>
  <si>
    <t>Daisy</t>
  </si>
  <si>
    <t>Dalla</t>
  </si>
  <si>
    <t>Dalthi</t>
  </si>
  <si>
    <t>Dana</t>
  </si>
  <si>
    <t>Dani</t>
  </si>
  <si>
    <t>Davi</t>
  </si>
  <si>
    <t>Dorli</t>
  </si>
  <si>
    <t>Durila</t>
  </si>
  <si>
    <t>Dyah</t>
  </si>
  <si>
    <t>Edna</t>
  </si>
  <si>
    <t>Effie</t>
  </si>
  <si>
    <t>Elen</t>
  </si>
  <si>
    <t>Erika</t>
  </si>
  <si>
    <t>Esgred</t>
  </si>
  <si>
    <t>Fay</t>
  </si>
  <si>
    <t>Ferny</t>
  </si>
  <si>
    <t>Flora</t>
  </si>
  <si>
    <t>Freesia</t>
  </si>
  <si>
    <t>Freny</t>
  </si>
  <si>
    <t>Frynne</t>
  </si>
  <si>
    <t>Genna</t>
  </si>
  <si>
    <t>Gerie</t>
  </si>
  <si>
    <t>Gilly</t>
  </si>
  <si>
    <t>Gilny</t>
  </si>
  <si>
    <t>Grenda</t>
  </si>
  <si>
    <t>Grengin</t>
  </si>
  <si>
    <t>Gretchel</t>
  </si>
  <si>
    <t>Grethe</t>
  </si>
  <si>
    <t>Grisel</t>
  </si>
  <si>
    <t>Grisella</t>
  </si>
  <si>
    <t>Gwen</t>
  </si>
  <si>
    <t>Halda</t>
  </si>
  <si>
    <t>Hali</t>
  </si>
  <si>
    <t>Harma</t>
  </si>
  <si>
    <t>Hattie</t>
  </si>
  <si>
    <t>Hazel</t>
  </si>
  <si>
    <t>Heather</t>
  </si>
  <si>
    <t>Helya</t>
  </si>
  <si>
    <t>Hemlock</t>
  </si>
  <si>
    <t>Herlina</t>
  </si>
  <si>
    <t>Hilde</t>
  </si>
  <si>
    <t>Hilly</t>
  </si>
  <si>
    <t>Holly</t>
  </si>
  <si>
    <t>Honeysuckle</t>
  </si>
  <si>
    <t>Inethe</t>
  </si>
  <si>
    <t>Ingiren</t>
  </si>
  <si>
    <t>Iona</t>
  </si>
  <si>
    <t>Isla</t>
  </si>
  <si>
    <t>Ivy</t>
  </si>
  <si>
    <t>Jackey</t>
  </si>
  <si>
    <t>Jenna</t>
  </si>
  <si>
    <t>Jez</t>
  </si>
  <si>
    <t>Jilly</t>
  </si>
  <si>
    <t>Jonquil</t>
  </si>
  <si>
    <t>Kadie</t>
  </si>
  <si>
    <t>Kadis</t>
  </si>
  <si>
    <t>Kalene</t>
  </si>
  <si>
    <t>Karly</t>
  </si>
  <si>
    <t>Lara</t>
  </si>
  <si>
    <t>Larkspur</t>
  </si>
  <si>
    <t>Laurel</t>
  </si>
  <si>
    <t>Lennel</t>
  </si>
  <si>
    <t>Lenny</t>
  </si>
  <si>
    <t>Lily</t>
  </si>
  <si>
    <t>Linnea</t>
  </si>
  <si>
    <t>Lobelia</t>
  </si>
  <si>
    <t>Lupina</t>
  </si>
  <si>
    <t>Maisie</t>
  </si>
  <si>
    <t>Maple</t>
  </si>
  <si>
    <t>Mari</t>
  </si>
  <si>
    <t>Marny</t>
  </si>
  <si>
    <t>Maud</t>
  </si>
  <si>
    <t>Meha</t>
  </si>
  <si>
    <t>Milly</t>
  </si>
  <si>
    <t>Minya</t>
  </si>
  <si>
    <t>Morien</t>
  </si>
  <si>
    <t>Morna</t>
  </si>
  <si>
    <t>Morvana</t>
  </si>
  <si>
    <t>Mulberry</t>
  </si>
  <si>
    <t>Munda</t>
  </si>
  <si>
    <t>Muriel</t>
  </si>
  <si>
    <t>Murron</t>
  </si>
  <si>
    <t>Myrtle</t>
  </si>
  <si>
    <t>Nanna</t>
  </si>
  <si>
    <t>Nella</t>
  </si>
  <si>
    <t>Nelna</t>
  </si>
  <si>
    <t>Nesha</t>
  </si>
  <si>
    <t>Nettles</t>
  </si>
  <si>
    <t>Nilly</t>
  </si>
  <si>
    <t>Nonne</t>
  </si>
  <si>
    <t>Norna</t>
  </si>
  <si>
    <t>Nuala</t>
  </si>
  <si>
    <t>Oliwa</t>
  </si>
  <si>
    <t>Olwen</t>
  </si>
  <si>
    <t>Pansy</t>
  </si>
  <si>
    <t>Peigi</t>
  </si>
  <si>
    <t>Piney</t>
  </si>
  <si>
    <t>Poppy</t>
  </si>
  <si>
    <t>Posy</t>
  </si>
  <si>
    <t>Ragwyle</t>
  </si>
  <si>
    <t>Rela</t>
  </si>
  <si>
    <t>Ros</t>
  </si>
  <si>
    <t>Rose</t>
  </si>
  <si>
    <t>Rosey</t>
  </si>
  <si>
    <t>Rowan</t>
  </si>
  <si>
    <t>Rowly</t>
  </si>
  <si>
    <t>Rue</t>
  </si>
  <si>
    <t>Ryka</t>
  </si>
  <si>
    <t>Sara</t>
  </si>
  <si>
    <t>Seva</t>
  </si>
  <si>
    <t>Sheena</t>
  </si>
  <si>
    <t>Shona</t>
  </si>
  <si>
    <t>Slaine</t>
  </si>
  <si>
    <t>Sorcha</t>
  </si>
  <si>
    <t>Spruce</t>
  </si>
  <si>
    <t>Svala</t>
  </si>
  <si>
    <t>Tansy</t>
  </si>
  <si>
    <t>Tera</t>
  </si>
  <si>
    <t>Thistle</t>
  </si>
  <si>
    <t>Thorna</t>
  </si>
  <si>
    <t>Thyme</t>
  </si>
  <si>
    <t>Tilly</t>
  </si>
  <si>
    <t>Tyka</t>
  </si>
  <si>
    <t>Una</t>
  </si>
  <si>
    <t>Urielle</t>
  </si>
  <si>
    <t>Val</t>
  </si>
  <si>
    <t>Violet</t>
  </si>
  <si>
    <t>Willa</t>
  </si>
  <si>
    <t>Willow</t>
  </si>
  <si>
    <t>Winterberry</t>
  </si>
  <si>
    <t>Wynda</t>
  </si>
  <si>
    <t>Yarra</t>
  </si>
  <si>
    <t>Yasha</t>
  </si>
  <si>
    <t>Ynne</t>
  </si>
  <si>
    <t>Ynness</t>
  </si>
  <si>
    <t>Ynny</t>
  </si>
  <si>
    <t>Yrya</t>
  </si>
  <si>
    <t>Ysilla</t>
  </si>
  <si>
    <t>Zia</t>
  </si>
  <si>
    <t>Zinnia</t>
  </si>
  <si>
    <t>skagosi</t>
  </si>
  <si>
    <t>dynasty_snowrow</t>
  </si>
  <si>
    <t>snowrow_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</si>
</sst>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b/>
      <sz val="14"/>
      <color theme="1"/>
      <name val="Calibri"/>
      <family val="2"/>
      <scheme val="minor"/>
    </font>
    <font>
      <b/>
      <sz val="20"/>
      <color theme="1"/>
      <name val="Calibri"/>
      <family val="2"/>
      <scheme val="minor"/>
    </font>
    <font>
      <b/>
      <i/>
      <sz val="11"/>
      <color theme="1"/>
      <name val="Calibri"/>
      <family val="2"/>
      <scheme val="minor"/>
    </font>
    <font>
      <sz val="11"/>
      <color rgb="FF000000"/>
      <name val="Calibri"/>
      <family val="2"/>
    </font>
    <font>
      <i/>
      <sz val="11"/>
      <color rgb="FF000000"/>
      <name val="Calibri"/>
      <family val="2"/>
      <scheme val="minor"/>
    </font>
    <font>
      <i/>
      <sz val="11"/>
      <name val="Arial"/>
      <family val="2"/>
    </font>
  </fonts>
  <fills count="2">
    <fill>
      <patternFill patternType="none"/>
    </fill>
    <fill>
      <patternFill patternType="gray125"/>
    </fill>
  </fills>
  <borders count="2">
    <border>
      <left/>
      <right/>
      <top/>
      <bottom/>
      <diagonal/>
    </border>
    <border>
      <left style="medium">
        <color rgb="FFCCCCCC"/>
      </left>
      <right style="medium">
        <color rgb="FFCCCCCC"/>
      </right>
      <top style="medium">
        <color rgb="FFCCCCCC"/>
      </top>
      <bottom style="medium">
        <color rgb="FFCCCCCC"/>
      </bottom>
      <diagonal/>
    </border>
  </borders>
  <cellStyleXfs count="2">
    <xf numFmtId="0" fontId="0" fillId="0" borderId="0"/>
    <xf numFmtId="9" fontId="2" fillId="0" borderId="0" applyFont="0" applyFill="0" applyBorder="0" applyAlignment="0" applyProtection="0"/>
  </cellStyleXfs>
  <cellXfs count="17">
    <xf numFmtId="0" fontId="0" fillId="0" borderId="0" xfId="0"/>
    <xf numFmtId="0" fontId="0" fillId="0" borderId="0" xfId="0" applyAlignment="1">
      <alignment horizontal="left"/>
    </xf>
    <xf numFmtId="0" fontId="1" fillId="0" borderId="0" xfId="0" applyFont="1"/>
    <xf numFmtId="9" fontId="0" fillId="0" borderId="0" xfId="1" applyFont="1"/>
    <xf numFmtId="9" fontId="0" fillId="0" borderId="0" xfId="0" applyNumberFormat="1"/>
    <xf numFmtId="0" fontId="3" fillId="0" borderId="0" xfId="0" applyFont="1"/>
    <xf numFmtId="0" fontId="3" fillId="0" borderId="0" xfId="0" applyFont="1" applyAlignment="1">
      <alignment horizontal="left"/>
    </xf>
    <xf numFmtId="9" fontId="3" fillId="0" borderId="0" xfId="0" applyNumberFormat="1" applyFont="1" applyAlignment="1">
      <alignment horizontal="left"/>
    </xf>
    <xf numFmtId="0" fontId="0" fillId="0" borderId="0" xfId="0" applyFont="1"/>
    <xf numFmtId="9" fontId="0" fillId="0" borderId="0" xfId="1" applyFont="1" applyAlignment="1">
      <alignment horizontal="left"/>
    </xf>
    <xf numFmtId="0" fontId="4" fillId="0" borderId="0" xfId="0" applyFont="1"/>
    <xf numFmtId="0" fontId="5" fillId="0" borderId="0" xfId="0" applyFont="1"/>
    <xf numFmtId="0" fontId="8" fillId="0" borderId="0" xfId="0" applyFont="1"/>
    <xf numFmtId="0" fontId="3" fillId="0" borderId="1" xfId="0" applyFont="1" applyBorder="1" applyAlignment="1">
      <alignment wrapText="1"/>
    </xf>
    <xf numFmtId="0" fontId="9" fillId="0" borderId="0" xfId="0" applyFont="1"/>
    <xf numFmtId="0" fontId="0" fillId="0" borderId="0" xfId="0" applyAlignment="1">
      <alignment horizontal="left" vertical="top" wrapText="1"/>
    </xf>
    <xf numFmtId="0" fontId="0" fillId="0" borderId="0" xfId="0" applyAlignment="1">
      <alignment horizontal="left"/>
    </xf>
  </cellXfs>
  <cellStyles count="2">
    <cellStyle name="Normal" xfId="0" builtinId="0"/>
    <cellStyle name="Percent" xfId="1" builtinId="5"/>
  </cellStyles>
  <dxfs count="5">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numFmt numFmtId="13" formatCode="0%"/>
    </dxf>
    <dxf>
      <numFmt numFmtId="13" formatCode="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19050</xdr:colOff>
      <xdr:row>25</xdr:row>
      <xdr:rowOff>28575</xdr:rowOff>
    </xdr:from>
    <xdr:to>
      <xdr:col>4</xdr:col>
      <xdr:colOff>590550</xdr:colOff>
      <xdr:row>29</xdr:row>
      <xdr:rowOff>68961</xdr:rowOff>
    </xdr:to>
    <xdr:pic>
      <xdr:nvPicPr>
        <xdr:cNvPr id="3" name="Picture 2" descr="Free Pikachu Gif Transparent, Download Free Pikachu Gif Transparent png  images, Free ClipArts on Clipart Library">
          <a:extLst>
            <a:ext uri="{FF2B5EF4-FFF2-40B4-BE49-F238E27FC236}">
              <a16:creationId xmlns:a16="http://schemas.microsoft.com/office/drawing/2014/main" id="{00000000-0008-0000-0000-000003000000}"/>
            </a:ext>
          </a:extLst>
        </xdr:cNvPr>
        <xdr:cNvPicPr>
          <a:picLocks noChangeAspect="1" noChangeArrowheads="1" noCrop="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7850" y="19469100"/>
          <a:ext cx="1181100" cy="8976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xdr:row>
          <xdr:rowOff>0</xdr:rowOff>
        </xdr:from>
        <xdr:to>
          <xdr:col>7</xdr:col>
          <xdr:colOff>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5AF317-E9B1-4CBE-B128-CF353ED11A5A}" name="MaleNames" displayName="MaleNames" ref="B2:B280" totalsRowShown="0">
  <autoFilter ref="B2:B280" xr:uid="{2D5AF317-E9B1-4CBE-B128-CF353ED11A5A}"/>
  <tableColumns count="1">
    <tableColumn id="1" xr3:uid="{49DB8E78-BACB-431F-BC7B-BB1CA23C82BA}" name="Male Nam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096FAFB-2F5C-416A-85F7-DCB294B890B6}" name="FemaleNames" displayName="FemaleNames" ref="D2:D195" totalsRowShown="0">
  <autoFilter ref="D2:D195" xr:uid="{7096FAFB-2F5C-416A-85F7-DCB294B890B6}"/>
  <tableColumns count="1">
    <tableColumn id="1" xr3:uid="{D4C44D1B-48F2-4CE4-A1D9-581B7EE5C89F}" name="Female Name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DDD9AE2-A884-49A4-A2BF-CE7F237EE4D0}" name="BattleDeaths" displayName="BattleDeaths" ref="F2:H21" totalsRowShown="0">
  <autoFilter ref="F2:H21" xr:uid="{3DDD9AE2-A884-49A4-A2BF-CE7F237EE4D0}"/>
  <sortState xmlns:xlrd2="http://schemas.microsoft.com/office/spreadsheetml/2017/richdata2" ref="F3:H21">
    <sortCondition descending="1" ref="G2:G21"/>
  </sortState>
  <tableColumns count="3">
    <tableColumn id="1" xr3:uid="{C6ADEC69-F060-4936-9ACD-A1C4BF017B0F}" name="Battle Deaths"/>
    <tableColumn id="2" xr3:uid="{9FBBE9AD-9D0F-45B8-B9CC-536412D6FB2E}" name="Weighting"/>
    <tableColumn id="3" xr3:uid="{3F534B69-7370-4A36-940D-28B5A6E2A69C}" name="Cumulative" dataDxfId="4">
      <calculatedColumnFormula>SUM($G$3:G3)/SUM(BattleDeaths[Weighting])</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AF14B0-6336-421F-B150-48ED6D6EA070}" name="IllnessDeaths" displayName="IllnessDeaths" ref="J2:L18" totalsRowShown="0">
  <autoFilter ref="J2:L18" xr:uid="{91AF14B0-6336-421F-B150-48ED6D6EA070}"/>
  <sortState xmlns:xlrd2="http://schemas.microsoft.com/office/spreadsheetml/2017/richdata2" ref="J3:L18">
    <sortCondition descending="1" ref="K2:K18"/>
  </sortState>
  <tableColumns count="3">
    <tableColumn id="1" xr3:uid="{D0943C82-2DE7-4FCF-9098-B878ABA0E574}" name="Illness Deaths"/>
    <tableColumn id="2" xr3:uid="{27F0C0ED-FD61-4D90-9AE0-72F2A81A1A3C}" name="Weighting"/>
    <tableColumn id="3" xr3:uid="{69F77E57-D3BF-4D66-98A2-DE8959BE0F39}" name="Cumulative" dataDxfId="3">
      <calculatedColumnFormula>SUM($K$3:K3)/SUM(IllnessDeaths[Weighting])</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F5736C-037B-4C8E-AD14-9E51B34BE16F}" name="IntrigueDeaths" displayName="IntrigueDeaths" ref="N2:P28" totalsRowShown="0">
  <autoFilter ref="N2:P28" xr:uid="{69F5736C-037B-4C8E-AD14-9E51B34BE16F}"/>
  <sortState xmlns:xlrd2="http://schemas.microsoft.com/office/spreadsheetml/2017/richdata2" ref="N3:P28">
    <sortCondition descending="1" ref="O2:O28"/>
  </sortState>
  <tableColumns count="3">
    <tableColumn id="1" xr3:uid="{CC3FFAE8-FE9B-48C2-BAAF-C747AEB11716}" name="Intrigue Deaths"/>
    <tableColumn id="2" xr3:uid="{E370AA26-DDD9-458B-9FFE-D7075A85F86C}" name="Weighting"/>
    <tableColumn id="3" xr3:uid="{4D2786CF-D400-4161-8031-3A49044307BE}" name="Cumulative" dataDxfId="2">
      <calculatedColumnFormula>SUM($O$3:O3)/SUM(IntrigueDeaths[Weighting])</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615507F-9E19-4B9D-A57F-44322F6CD545}" name="PersonalityTraits" displayName="PersonalityTraits" ref="AA2:AC37" totalsRowShown="0">
  <autoFilter ref="AA2:AC37" xr:uid="{2615507F-9E19-4B9D-A57F-44322F6CD545}"/>
  <tableColumns count="3">
    <tableColumn id="1" xr3:uid="{58495C41-3206-4471-904E-1BEFE598F57C}" name="Personality Traits"/>
    <tableColumn id="2" xr3:uid="{629C00D2-0C30-4C57-B812-5326D0893021}" name="Weighting"/>
    <tableColumn id="3" xr3:uid="{0A5D1ADB-860B-46F1-9B4D-814E9192D6E6}" name="Cumulative" dataCellStyle="Percent">
      <calculatedColumnFormula>SUM($AB$3:AB3)/SUM(PersonalityTraits[Weighting])</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D05051A-79B3-45E3-9CDD-4B28BEC285DF}" name="Skills" displayName="Skills" ref="AE2:AQ52" totalsRowShown="0">
  <autoFilter ref="AE2:AQ52" xr:uid="{7D05051A-79B3-45E3-9CDD-4B28BEC285DF}"/>
  <tableColumns count="13">
    <tableColumn id="1" xr3:uid="{272DF396-FCD0-4DDF-A2B1-9F4873A8E9DC}" name="Skill Weightings"/>
    <tableColumn id="2" xr3:uid="{D59A2424-588B-43DD-82B4-F83D742BD9FE}" name="Diplomacy"/>
    <tableColumn id="3" xr3:uid="{3228C4D7-3102-47C8-8C3A-F51017DF8A4D}" name="Martial"/>
    <tableColumn id="4" xr3:uid="{A8A93A6F-698F-4978-AF3B-A414E0C37FDC}" name="Stewardship"/>
    <tableColumn id="5" xr3:uid="{B19BFD0C-51B6-48EF-948A-2FF6D496D33C}" name="Intrigue"/>
    <tableColumn id="6" xr3:uid="{F193015D-59B8-468B-9631-2E758DE966B7}" name="Learning"/>
    <tableColumn id="7" xr3:uid="{A4627D08-5CAD-42C2-8BCC-CAEE502C2497}" name="Prowess"/>
    <tableColumn id="8" xr3:uid="{9F25703F-9417-430F-937E-94342C7FB14C}" name="D Cumulative" dataCellStyle="Percent">
      <calculatedColumnFormula>SUM($AF$3:AF3)/SUM(Skills[Diplomacy])</calculatedColumnFormula>
    </tableColumn>
    <tableColumn id="9" xr3:uid="{AEB110E2-74FF-4280-820A-CFC8D79DB50D}" name="M Cumulative" dataCellStyle="Percent">
      <calculatedColumnFormula>SUM($AG$3:AG3)/SUM(Skills[Martial])</calculatedColumnFormula>
    </tableColumn>
    <tableColumn id="10" xr3:uid="{3ADDFDFC-B8EF-4618-A633-87B7FEFA9928}" name="S Cumulative" dataCellStyle="Percent">
      <calculatedColumnFormula>SUM($AH$3:AH3)/SUM(Skills[Stewardship])</calculatedColumnFormula>
    </tableColumn>
    <tableColumn id="11" xr3:uid="{5D8CA836-78C3-4913-AE5E-B1256083A5C2}" name="I Cumulative" dataCellStyle="Percent">
      <calculatedColumnFormula>SUM($AI$3:AI3)/SUM(Skills[Intrigue])</calculatedColumnFormula>
    </tableColumn>
    <tableColumn id="12" xr3:uid="{8A76E1E6-713D-451A-B595-8E828B8974C2}" name="L Cumulative" dataCellStyle="Percent">
      <calculatedColumnFormula>SUM($AJ$3:AJ3)/SUM(Skills[Learning])</calculatedColumnFormula>
    </tableColumn>
    <tableColumn id="13" xr3:uid="{0F795CB2-9EC8-49BF-989F-2F4238E62BE0}" name="P Cumulative" dataCellStyle="Percent">
      <calculatedColumnFormula>SUM($AK$3:AK3)/SUM(Skills[Prowess])</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0212998-E4E4-4DB6-9DBE-A0D7273E6672}" name="Sexuality" displayName="Sexuality" ref="R2:T6" totalsRowShown="0">
  <autoFilter ref="R2:T6" xr:uid="{40212998-E4E4-4DB6-9DBE-A0D7273E6672}"/>
  <tableColumns count="3">
    <tableColumn id="1" xr3:uid="{F7CB1C3F-07BA-4755-BCAC-081E577C7229}" name="Sexuality"/>
    <tableColumn id="2" xr3:uid="{CFEFD0C4-A2EA-41D7-9194-DBFB7AD0D10D}" name="Weighting"/>
    <tableColumn id="3" xr3:uid="{BD79D033-6665-4A39-9F7B-1AA7F969042C}" name="Cumulative" dataDxfId="1" dataCellStyle="Percent">
      <calculatedColumnFormula>SUM($S$3:S3)/SUM(Sexuality[Weighting])</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84FFA22-F1EE-4BB8-86B6-0B6F3CB88641}" name="Nicknames" displayName="Nicknames" ref="V2:X245" totalsRowShown="0">
  <autoFilter ref="V2:X245" xr:uid="{284FFA22-F1EE-4BB8-86B6-0B6F3CB88641}"/>
  <sortState xmlns:xlrd2="http://schemas.microsoft.com/office/spreadsheetml/2017/richdata2" ref="V3:X245">
    <sortCondition descending="1" ref="W2:W245"/>
  </sortState>
  <tableColumns count="3">
    <tableColumn id="1" xr3:uid="{5E013221-5457-4266-B9C2-7F42026E540B}" name="Nicknames"/>
    <tableColumn id="2" xr3:uid="{3B56611E-F2BA-4F07-BC07-9A891A516729}" name="Weighting"/>
    <tableColumn id="3" xr3:uid="{1326D3B8-6AC4-422E-9EEA-6757C637DCBF}" name="Cumulative" dataDxfId="0" dataCellStyle="Percent">
      <calculatedColumnFormula>SUM($W3:W$3)/SUM(Nicknames[Weighting])</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7E3651E-8E4C-478C-B306-818C5B8BA042}" name="Education" displayName="Education" ref="AS2:AU6" totalsRowShown="0">
  <autoFilter ref="AS2:AU6" xr:uid="{57E3651E-8E4C-478C-B306-818C5B8BA042}"/>
  <tableColumns count="3">
    <tableColumn id="1" xr3:uid="{9708BCDD-DD05-4B72-AE65-788D46ED89E9}" name="Education Tier"/>
    <tableColumn id="2" xr3:uid="{85B28475-93BE-414F-97BC-62261142BE0C}" name="Weighting"/>
    <tableColumn id="3" xr3:uid="{2EB48DEC-91EC-4FB4-B490-E2698C45BCC7}" name="Cumulative" dataCellStyle="Percent">
      <calculatedColumnFormula>SUM($AT$3:AT3)/SUM(Education[Weighting])</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377A4-2020-4321-9D8A-0290608888BA}">
  <sheetPr codeName="Sheet2"/>
  <dimension ref="B1:K27"/>
  <sheetViews>
    <sheetView topLeftCell="A10" workbookViewId="0">
      <selection activeCell="B14" sqref="B14:K14"/>
    </sheetView>
  </sheetViews>
  <sheetFormatPr defaultRowHeight="15" x14ac:dyDescent="0.25"/>
  <cols>
    <col min="1" max="1" width="1.7109375" customWidth="1"/>
  </cols>
  <sheetData>
    <row r="1" spans="2:11" ht="9" customHeight="1" x14ac:dyDescent="0.25"/>
    <row r="2" spans="2:11" ht="26.25" x14ac:dyDescent="0.4">
      <c r="B2" s="11" t="s">
        <v>290</v>
      </c>
    </row>
    <row r="4" spans="2:11" ht="169.5" customHeight="1" x14ac:dyDescent="0.25">
      <c r="B4" s="15" t="s">
        <v>291</v>
      </c>
      <c r="C4" s="15"/>
      <c r="D4" s="15"/>
      <c r="E4" s="15"/>
      <c r="F4" s="15"/>
      <c r="G4" s="15"/>
      <c r="H4" s="15"/>
      <c r="I4" s="15"/>
      <c r="J4" s="15"/>
      <c r="K4" s="15"/>
    </row>
    <row r="6" spans="2:11" ht="18.75" x14ac:dyDescent="0.3">
      <c r="B6" s="10" t="s">
        <v>293</v>
      </c>
    </row>
    <row r="7" spans="2:11" x14ac:dyDescent="0.25">
      <c r="B7" s="2"/>
    </row>
    <row r="8" spans="2:11" ht="197.25" customHeight="1" x14ac:dyDescent="0.25">
      <c r="B8" s="15" t="s">
        <v>312</v>
      </c>
      <c r="C8" s="15"/>
      <c r="D8" s="15"/>
      <c r="E8" s="15"/>
      <c r="F8" s="15"/>
      <c r="G8" s="15"/>
      <c r="H8" s="15"/>
      <c r="I8" s="15"/>
      <c r="J8" s="15"/>
      <c r="K8" s="15"/>
    </row>
    <row r="10" spans="2:11" ht="18.75" x14ac:dyDescent="0.3">
      <c r="B10" s="10" t="s">
        <v>294</v>
      </c>
    </row>
    <row r="12" spans="2:11" x14ac:dyDescent="0.25">
      <c r="B12" s="16" t="s">
        <v>295</v>
      </c>
      <c r="C12" s="16"/>
      <c r="D12" s="16"/>
      <c r="E12" s="16"/>
      <c r="F12" s="16"/>
      <c r="G12" s="16"/>
      <c r="H12" s="16"/>
      <c r="I12" s="16"/>
      <c r="J12" s="16"/>
      <c r="K12" s="16"/>
    </row>
    <row r="14" spans="2:11" ht="280.5" customHeight="1" x14ac:dyDescent="0.25">
      <c r="B14" s="15" t="s">
        <v>311</v>
      </c>
      <c r="C14" s="15"/>
      <c r="D14" s="15"/>
      <c r="E14" s="15"/>
      <c r="F14" s="15"/>
      <c r="G14" s="15"/>
      <c r="H14" s="15"/>
      <c r="I14" s="15"/>
      <c r="J14" s="15"/>
      <c r="K14" s="15"/>
    </row>
    <row r="16" spans="2:11" ht="381" customHeight="1" x14ac:dyDescent="0.25">
      <c r="B16" s="15" t="s">
        <v>296</v>
      </c>
      <c r="C16" s="15"/>
      <c r="D16" s="15"/>
      <c r="E16" s="15"/>
      <c r="F16" s="15"/>
      <c r="G16" s="15"/>
      <c r="H16" s="15"/>
      <c r="I16" s="15"/>
      <c r="J16" s="15"/>
      <c r="K16" s="15"/>
    </row>
    <row r="18" spans="2:11" ht="138.75" customHeight="1" x14ac:dyDescent="0.25">
      <c r="B18" s="15" t="s">
        <v>297</v>
      </c>
      <c r="C18" s="15"/>
      <c r="D18" s="15"/>
      <c r="E18" s="15"/>
      <c r="F18" s="15"/>
      <c r="G18" s="15"/>
      <c r="H18" s="15"/>
      <c r="I18" s="15"/>
      <c r="J18" s="15"/>
      <c r="K18" s="15"/>
    </row>
    <row r="20" spans="2:11" ht="18.75" x14ac:dyDescent="0.3">
      <c r="B20" s="10" t="s">
        <v>298</v>
      </c>
    </row>
    <row r="22" spans="2:11" ht="95.25" customHeight="1" x14ac:dyDescent="0.25">
      <c r="B22" s="15" t="s">
        <v>299</v>
      </c>
      <c r="C22" s="15"/>
      <c r="D22" s="15"/>
      <c r="E22" s="15"/>
      <c r="F22" s="15"/>
      <c r="G22" s="15"/>
      <c r="H22" s="15"/>
      <c r="I22" s="15"/>
      <c r="J22" s="15"/>
      <c r="K22" s="15"/>
    </row>
    <row r="24" spans="2:11" ht="18.75" x14ac:dyDescent="0.3">
      <c r="B24" s="10" t="s">
        <v>300</v>
      </c>
    </row>
    <row r="26" spans="2:11" ht="18.75" x14ac:dyDescent="0.3">
      <c r="B26" s="10" t="s">
        <v>301</v>
      </c>
    </row>
    <row r="27" spans="2:11" ht="18.75" x14ac:dyDescent="0.3">
      <c r="B27" s="10" t="s">
        <v>302</v>
      </c>
    </row>
  </sheetData>
  <mergeCells count="7">
    <mergeCell ref="B22:K22"/>
    <mergeCell ref="B4:K4"/>
    <mergeCell ref="B14:K14"/>
    <mergeCell ref="B8:K8"/>
    <mergeCell ref="B16:K16"/>
    <mergeCell ref="B18:K18"/>
    <mergeCell ref="B12:K1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D2C10-5543-45B3-AC15-2BC9A43AFFBC}">
  <sheetPr codeName="Sheet1"/>
  <dimension ref="B1:F45"/>
  <sheetViews>
    <sheetView tabSelected="1" zoomScale="170" zoomScaleNormal="170" workbookViewId="0">
      <selection activeCell="J6" sqref="J6"/>
    </sheetView>
  </sheetViews>
  <sheetFormatPr defaultRowHeight="15" x14ac:dyDescent="0.25"/>
  <cols>
    <col min="1" max="1" width="2.5703125" customWidth="1"/>
    <col min="2" max="2" width="37.28515625" bestFit="1" customWidth="1"/>
    <col min="3" max="3" width="20.85546875" style="1" bestFit="1" customWidth="1"/>
    <col min="4" max="4" width="5.140625" customWidth="1"/>
  </cols>
  <sheetData>
    <row r="1" spans="2:6" ht="10.5" customHeight="1" x14ac:dyDescent="0.25"/>
    <row r="2" spans="2:6" x14ac:dyDescent="0.25">
      <c r="B2" s="2" t="s">
        <v>2</v>
      </c>
      <c r="C2" s="12" t="s">
        <v>787</v>
      </c>
    </row>
    <row r="3" spans="2:6" x14ac:dyDescent="0.25">
      <c r="B3" s="2" t="s">
        <v>1</v>
      </c>
      <c r="C3" s="14" t="s">
        <v>317</v>
      </c>
    </row>
    <row r="4" spans="2:6" x14ac:dyDescent="0.25">
      <c r="B4" s="2" t="s">
        <v>0</v>
      </c>
      <c r="C4" s="12" t="s">
        <v>786</v>
      </c>
    </row>
    <row r="5" spans="2:6" ht="15.75" thickBot="1" x14ac:dyDescent="0.3">
      <c r="B5" s="2"/>
      <c r="C5" s="6"/>
    </row>
    <row r="6" spans="2:6" ht="15.75" thickBot="1" x14ac:dyDescent="0.3">
      <c r="B6" s="2" t="s">
        <v>3</v>
      </c>
      <c r="C6" s="13" t="s">
        <v>788</v>
      </c>
      <c r="E6" s="2" t="s">
        <v>93</v>
      </c>
    </row>
    <row r="7" spans="2:6" ht="15.75" thickBot="1" x14ac:dyDescent="0.3">
      <c r="B7" s="2" t="s">
        <v>4</v>
      </c>
      <c r="C7" s="13">
        <v>1</v>
      </c>
      <c r="E7" s="5" t="b">
        <v>1</v>
      </c>
      <c r="F7" t="s">
        <v>94</v>
      </c>
    </row>
    <row r="8" spans="2:6" x14ac:dyDescent="0.25">
      <c r="B8" s="2"/>
      <c r="C8" s="6"/>
      <c r="E8" s="5" t="b">
        <v>0</v>
      </c>
      <c r="F8" t="s">
        <v>303</v>
      </c>
    </row>
    <row r="9" spans="2:6" x14ac:dyDescent="0.25">
      <c r="B9" s="2" t="s">
        <v>17</v>
      </c>
      <c r="C9" s="6">
        <v>4450</v>
      </c>
      <c r="E9" s="5" t="b">
        <v>0</v>
      </c>
      <c r="F9" t="s">
        <v>304</v>
      </c>
    </row>
    <row r="10" spans="2:6" x14ac:dyDescent="0.25">
      <c r="B10" s="2" t="s">
        <v>20</v>
      </c>
      <c r="C10" s="6">
        <v>60</v>
      </c>
      <c r="E10" s="5" t="b">
        <v>1</v>
      </c>
      <c r="F10" t="s">
        <v>305</v>
      </c>
    </row>
    <row r="11" spans="2:6" x14ac:dyDescent="0.25">
      <c r="B11" s="2" t="s">
        <v>292</v>
      </c>
      <c r="C11" s="6">
        <v>5</v>
      </c>
      <c r="E11" s="5" t="b">
        <v>1</v>
      </c>
      <c r="F11" t="s">
        <v>306</v>
      </c>
    </row>
    <row r="12" spans="2:6" x14ac:dyDescent="0.25">
      <c r="B12" s="2"/>
      <c r="C12" s="6"/>
      <c r="E12" s="5" t="b">
        <v>1</v>
      </c>
      <c r="F12" t="s">
        <v>307</v>
      </c>
    </row>
    <row r="13" spans="2:6" x14ac:dyDescent="0.25">
      <c r="B13" s="2" t="s">
        <v>5</v>
      </c>
      <c r="C13" s="6">
        <v>14</v>
      </c>
      <c r="E13" s="5" t="b">
        <v>1</v>
      </c>
      <c r="F13" t="s">
        <v>308</v>
      </c>
    </row>
    <row r="14" spans="2:6" x14ac:dyDescent="0.25">
      <c r="B14" s="2" t="s">
        <v>6</v>
      </c>
      <c r="C14" s="6">
        <v>50</v>
      </c>
      <c r="E14" s="5" t="b">
        <v>1</v>
      </c>
      <c r="F14" t="s">
        <v>309</v>
      </c>
    </row>
    <row r="15" spans="2:6" x14ac:dyDescent="0.25">
      <c r="B15" s="2" t="s">
        <v>90</v>
      </c>
      <c r="C15" s="6">
        <v>-5</v>
      </c>
      <c r="E15" s="5" t="b">
        <v>0</v>
      </c>
      <c r="F15" t="s">
        <v>310</v>
      </c>
    </row>
    <row r="16" spans="2:6" x14ac:dyDescent="0.25">
      <c r="B16" s="2" t="s">
        <v>91</v>
      </c>
      <c r="C16" s="6">
        <v>10</v>
      </c>
    </row>
    <row r="17" spans="2:5" x14ac:dyDescent="0.25">
      <c r="B17" s="2"/>
      <c r="C17" s="6"/>
      <c r="E17" s="5" t="s">
        <v>315</v>
      </c>
    </row>
    <row r="18" spans="2:5" x14ac:dyDescent="0.25">
      <c r="B18" s="2" t="s">
        <v>7</v>
      </c>
      <c r="C18" s="6">
        <v>13</v>
      </c>
    </row>
    <row r="19" spans="2:5" x14ac:dyDescent="0.25">
      <c r="B19" s="2" t="s">
        <v>8</v>
      </c>
      <c r="C19" s="6">
        <v>45</v>
      </c>
      <c r="E19" s="5" t="s">
        <v>313</v>
      </c>
    </row>
    <row r="20" spans="2:5" x14ac:dyDescent="0.25">
      <c r="B20" s="2" t="s">
        <v>92</v>
      </c>
      <c r="C20" s="6">
        <v>4</v>
      </c>
      <c r="E20" s="5" t="s">
        <v>314</v>
      </c>
    </row>
    <row r="21" spans="2:5" x14ac:dyDescent="0.25">
      <c r="B21" s="2"/>
      <c r="C21" s="6"/>
    </row>
    <row r="22" spans="2:5" x14ac:dyDescent="0.25">
      <c r="B22" s="2" t="s">
        <v>13</v>
      </c>
      <c r="C22" s="7">
        <v>0.1</v>
      </c>
    </row>
    <row r="23" spans="2:5" x14ac:dyDescent="0.25">
      <c r="B23" s="2" t="s">
        <v>11</v>
      </c>
      <c r="C23" s="6">
        <v>20</v>
      </c>
    </row>
    <row r="24" spans="2:5" x14ac:dyDescent="0.25">
      <c r="B24" s="2" t="s">
        <v>12</v>
      </c>
      <c r="C24" s="6">
        <v>60</v>
      </c>
    </row>
    <row r="25" spans="2:5" x14ac:dyDescent="0.25">
      <c r="B25" s="2"/>
      <c r="C25" s="6"/>
    </row>
    <row r="26" spans="2:5" x14ac:dyDescent="0.25">
      <c r="B26" s="2" t="s">
        <v>16</v>
      </c>
      <c r="C26" s="7">
        <v>7.0000000000000007E-2</v>
      </c>
    </row>
    <row r="27" spans="2:5" x14ac:dyDescent="0.25">
      <c r="B27" s="2" t="s">
        <v>14</v>
      </c>
      <c r="C27" s="6">
        <v>1</v>
      </c>
    </row>
    <row r="28" spans="2:5" x14ac:dyDescent="0.25">
      <c r="B28" s="2" t="s">
        <v>15</v>
      </c>
      <c r="C28" s="6">
        <v>60</v>
      </c>
    </row>
    <row r="29" spans="2:5" x14ac:dyDescent="0.25">
      <c r="B29" s="2"/>
      <c r="C29" s="6"/>
    </row>
    <row r="30" spans="2:5" x14ac:dyDescent="0.25">
      <c r="B30" s="2" t="s">
        <v>25</v>
      </c>
      <c r="C30" s="7">
        <v>0.02</v>
      </c>
    </row>
    <row r="31" spans="2:5" x14ac:dyDescent="0.25">
      <c r="B31" s="2" t="s">
        <v>26</v>
      </c>
      <c r="C31" s="6">
        <v>25</v>
      </c>
    </row>
    <row r="32" spans="2:5" x14ac:dyDescent="0.25">
      <c r="B32" s="2" t="s">
        <v>27</v>
      </c>
      <c r="C32" s="6">
        <v>90</v>
      </c>
    </row>
    <row r="33" spans="2:3" x14ac:dyDescent="0.25">
      <c r="B33" s="2"/>
      <c r="C33" s="6"/>
    </row>
    <row r="34" spans="2:3" x14ac:dyDescent="0.25">
      <c r="B34" s="2" t="s">
        <v>9</v>
      </c>
      <c r="C34" s="6">
        <v>66</v>
      </c>
    </row>
    <row r="35" spans="2:3" x14ac:dyDescent="0.25">
      <c r="B35" s="2" t="s">
        <v>10</v>
      </c>
      <c r="C35" s="6">
        <v>85</v>
      </c>
    </row>
    <row r="36" spans="2:3" x14ac:dyDescent="0.25">
      <c r="B36" s="2"/>
      <c r="C36" s="6"/>
    </row>
    <row r="37" spans="2:3" x14ac:dyDescent="0.25">
      <c r="B37" s="2" t="s">
        <v>95</v>
      </c>
      <c r="C37" s="6">
        <v>0</v>
      </c>
    </row>
    <row r="38" spans="2:3" x14ac:dyDescent="0.25">
      <c r="B38" s="2" t="s">
        <v>99</v>
      </c>
      <c r="C38" s="6">
        <v>0</v>
      </c>
    </row>
    <row r="39" spans="2:3" x14ac:dyDescent="0.25">
      <c r="B39" s="2" t="s">
        <v>96</v>
      </c>
      <c r="C39" s="1">
        <v>0</v>
      </c>
    </row>
    <row r="40" spans="2:3" x14ac:dyDescent="0.25">
      <c r="B40" s="2" t="s">
        <v>98</v>
      </c>
      <c r="C40" s="1">
        <v>50</v>
      </c>
    </row>
    <row r="41" spans="2:3" x14ac:dyDescent="0.25">
      <c r="B41" s="2" t="s">
        <v>97</v>
      </c>
      <c r="C41" s="1">
        <v>50</v>
      </c>
    </row>
    <row r="43" spans="2:3" x14ac:dyDescent="0.25">
      <c r="B43" s="2" t="s">
        <v>289</v>
      </c>
      <c r="C43" s="9">
        <v>0.02</v>
      </c>
    </row>
    <row r="44" spans="2:3" x14ac:dyDescent="0.25">
      <c r="B44" s="2" t="s">
        <v>287</v>
      </c>
      <c r="C44" s="1">
        <v>5</v>
      </c>
    </row>
    <row r="45" spans="2:3" x14ac:dyDescent="0.25">
      <c r="B45" s="2" t="s">
        <v>288</v>
      </c>
      <c r="C45" s="1">
        <v>20</v>
      </c>
    </row>
  </sheetData>
  <dataValidations count="1">
    <dataValidation type="list" allowBlank="1" showInputMessage="1" showErrorMessage="1" sqref="E7:E15" xr:uid="{FBC59914-F296-44A8-8AC3-6CC6DF9BFD0E}">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Family">
                <anchor moveWithCells="1" sizeWithCells="1">
                  <from>
                    <xdr:col>4</xdr:col>
                    <xdr:colOff>0</xdr:colOff>
                    <xdr:row>1</xdr:row>
                    <xdr:rowOff>0</xdr:rowOff>
                  </from>
                  <to>
                    <xdr:col>7</xdr:col>
                    <xdr:colOff>0</xdr:colOff>
                    <xdr:row>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F6138-CDDE-4AF7-A57C-0796D6445611}">
  <sheetPr codeName="Sheet3"/>
  <dimension ref="B2:AU280"/>
  <sheetViews>
    <sheetView zoomScale="150" zoomScaleNormal="150" workbookViewId="0">
      <selection activeCell="G191" sqref="G191"/>
    </sheetView>
  </sheetViews>
  <sheetFormatPr defaultRowHeight="15" x14ac:dyDescent="0.25"/>
  <cols>
    <col min="1" max="1" width="2.85546875" customWidth="1"/>
    <col min="2" max="2" width="14.28515625" customWidth="1"/>
    <col min="4" max="4" width="14.7109375" customWidth="1"/>
    <col min="6" max="6" width="36" bestFit="1" customWidth="1"/>
    <col min="7" max="7" width="12.42578125" customWidth="1"/>
    <col min="8" max="8" width="13.42578125" hidden="1" customWidth="1"/>
    <col min="10" max="10" width="27.5703125" bestFit="1" customWidth="1"/>
    <col min="11" max="11" width="12.42578125" customWidth="1"/>
    <col min="12" max="12" width="13.28515625" hidden="1" customWidth="1"/>
    <col min="14" max="14" width="31.28515625" bestFit="1" customWidth="1"/>
    <col min="15" max="15" width="12.42578125" customWidth="1"/>
    <col min="16" max="16" width="13.28515625" hidden="1" customWidth="1"/>
    <col min="18" max="18" width="12.85546875" bestFit="1" customWidth="1"/>
    <col min="19" max="19" width="12.5703125" bestFit="1" customWidth="1"/>
    <col min="20" max="20" width="13.42578125" bestFit="1" customWidth="1"/>
    <col min="22" max="22" width="35.7109375" bestFit="1" customWidth="1"/>
    <col min="23" max="23" width="11" customWidth="1"/>
    <col min="24" max="24" width="12" hidden="1" customWidth="1"/>
    <col min="27" max="27" width="18.7109375" bestFit="1" customWidth="1"/>
    <col min="28" max="28" width="12.42578125" customWidth="1"/>
    <col min="29" max="29" width="13.28515625" customWidth="1"/>
    <col min="31" max="31" width="15.7109375" customWidth="1"/>
    <col min="32" max="32" width="11.28515625" customWidth="1"/>
    <col min="33" max="33" width="8.42578125" customWidth="1"/>
    <col min="34" max="34" width="13" customWidth="1"/>
    <col min="35" max="35" width="9" customWidth="1"/>
    <col min="36" max="36" width="9.5703125" customWidth="1"/>
    <col min="37" max="37" width="9.42578125" customWidth="1"/>
    <col min="38" max="38" width="13.85546875" hidden="1" customWidth="1"/>
    <col min="39" max="39" width="14.28515625" hidden="1" customWidth="1"/>
    <col min="40" max="40" width="13.42578125" hidden="1" customWidth="1"/>
    <col min="41" max="41" width="13" hidden="1" customWidth="1"/>
    <col min="42" max="42" width="13.28515625" hidden="1" customWidth="1"/>
    <col min="43" max="43" width="13.5703125" hidden="1" customWidth="1"/>
    <col min="45" max="45" width="14.7109375" customWidth="1"/>
    <col min="46" max="46" width="11" customWidth="1"/>
    <col min="47" max="47" width="12" hidden="1" customWidth="1"/>
  </cols>
  <sheetData>
    <row r="2" spans="2:47" x14ac:dyDescent="0.25">
      <c r="B2" t="s">
        <v>18</v>
      </c>
      <c r="D2" t="s">
        <v>19</v>
      </c>
      <c r="F2" t="s">
        <v>21</v>
      </c>
      <c r="G2" t="s">
        <v>22</v>
      </c>
      <c r="H2" t="s">
        <v>45</v>
      </c>
      <c r="J2" t="s">
        <v>46</v>
      </c>
      <c r="K2" t="s">
        <v>22</v>
      </c>
      <c r="L2" t="s">
        <v>45</v>
      </c>
      <c r="N2" t="s">
        <v>47</v>
      </c>
      <c r="O2" t="s">
        <v>22</v>
      </c>
      <c r="P2" t="s">
        <v>45</v>
      </c>
      <c r="R2" t="s">
        <v>150</v>
      </c>
      <c r="S2" t="s">
        <v>22</v>
      </c>
      <c r="T2" t="s">
        <v>45</v>
      </c>
      <c r="V2" t="s">
        <v>135</v>
      </c>
      <c r="W2" t="s">
        <v>22</v>
      </c>
      <c r="X2" t="s">
        <v>45</v>
      </c>
      <c r="AA2" t="s">
        <v>149</v>
      </c>
      <c r="AB2" t="s">
        <v>22</v>
      </c>
      <c r="AC2" t="s">
        <v>45</v>
      </c>
      <c r="AE2" t="s">
        <v>138</v>
      </c>
      <c r="AF2" t="s">
        <v>136</v>
      </c>
      <c r="AG2" t="s">
        <v>137</v>
      </c>
      <c r="AH2" t="s">
        <v>139</v>
      </c>
      <c r="AI2" t="s">
        <v>140</v>
      </c>
      <c r="AJ2" t="s">
        <v>141</v>
      </c>
      <c r="AK2" t="s">
        <v>142</v>
      </c>
      <c r="AL2" t="s">
        <v>143</v>
      </c>
      <c r="AM2" t="s">
        <v>144</v>
      </c>
      <c r="AN2" t="s">
        <v>145</v>
      </c>
      <c r="AO2" t="s">
        <v>146</v>
      </c>
      <c r="AP2" t="s">
        <v>147</v>
      </c>
      <c r="AQ2" t="s">
        <v>148</v>
      </c>
      <c r="AS2" t="s">
        <v>286</v>
      </c>
      <c r="AT2" t="s">
        <v>22</v>
      </c>
      <c r="AU2" t="s">
        <v>45</v>
      </c>
    </row>
    <row r="3" spans="2:47" x14ac:dyDescent="0.25">
      <c r="B3" t="s">
        <v>383</v>
      </c>
      <c r="D3" t="s">
        <v>617</v>
      </c>
      <c r="F3" s="8" t="s">
        <v>28</v>
      </c>
      <c r="G3">
        <v>45</v>
      </c>
      <c r="H3" s="3">
        <f>SUM($G$3:G3)/SUM(BattleDeaths[Weighting])</f>
        <v>0.45</v>
      </c>
      <c r="J3" t="s">
        <v>48</v>
      </c>
      <c r="K3">
        <v>20</v>
      </c>
      <c r="L3" s="3">
        <f>SUM($K$3:K3)/SUM(IllnessDeaths[Weighting])</f>
        <v>0.2</v>
      </c>
      <c r="N3" t="s">
        <v>65</v>
      </c>
      <c r="O3">
        <v>10</v>
      </c>
      <c r="P3" s="3">
        <f>SUM($O$3:O3)/SUM(IntrigueDeaths[Weighting])</f>
        <v>0.1</v>
      </c>
      <c r="R3" t="s">
        <v>151</v>
      </c>
      <c r="S3">
        <v>93</v>
      </c>
      <c r="T3" s="3">
        <f>SUM($S$3:S3)/SUM(Sexuality[Weighting])</f>
        <v>0.93</v>
      </c>
      <c r="V3" s="2" t="s">
        <v>285</v>
      </c>
      <c r="W3">
        <v>5000</v>
      </c>
      <c r="X3" s="3">
        <f>SUM($W3:W$3)/SUM(Nicknames[Weighting])</f>
        <v>0.97465886939571145</v>
      </c>
      <c r="AA3" t="s">
        <v>100</v>
      </c>
      <c r="AB3">
        <v>1</v>
      </c>
      <c r="AC3" s="3">
        <f>SUM($AB$3:AB3)/SUM(PersonalityTraits[Weighting])</f>
        <v>2.8571428571428571E-2</v>
      </c>
      <c r="AE3">
        <v>1</v>
      </c>
      <c r="AF3">
        <v>1</v>
      </c>
      <c r="AG3">
        <v>1</v>
      </c>
      <c r="AH3">
        <v>1</v>
      </c>
      <c r="AI3">
        <v>1</v>
      </c>
      <c r="AJ3">
        <v>1</v>
      </c>
      <c r="AK3">
        <v>1</v>
      </c>
      <c r="AL3" s="3">
        <f>SUM($AF$3:AF3)/SUM(Skills[Diplomacy])</f>
        <v>0.01</v>
      </c>
      <c r="AM3" s="3">
        <f>SUM($AG$3:AG3)/SUM(Skills[Martial])</f>
        <v>0.01</v>
      </c>
      <c r="AN3" s="3">
        <f>SUM($AH$3:AH3)/SUM(Skills[Stewardship])</f>
        <v>0.01</v>
      </c>
      <c r="AO3" s="3">
        <f>SUM($AI$3:AI3)/SUM(Skills[Intrigue])</f>
        <v>0.01</v>
      </c>
      <c r="AP3" s="3">
        <f>SUM($AJ$3:AJ3)/SUM(Skills[Learning])</f>
        <v>0.01</v>
      </c>
      <c r="AQ3" s="3">
        <f>SUM($AK$3:AK3)/SUM(Skills[Prowess])</f>
        <v>0.01</v>
      </c>
      <c r="AS3">
        <v>1</v>
      </c>
      <c r="AT3">
        <v>10</v>
      </c>
      <c r="AU3" s="3">
        <f>SUM($AT$3:AT3)/SUM(Education[Weighting])</f>
        <v>0.1</v>
      </c>
    </row>
    <row r="4" spans="2:47" x14ac:dyDescent="0.25">
      <c r="B4" t="s">
        <v>384</v>
      </c>
      <c r="D4" t="s">
        <v>618</v>
      </c>
      <c r="F4" t="s">
        <v>30</v>
      </c>
      <c r="G4">
        <v>10</v>
      </c>
      <c r="H4" s="3">
        <f>SUM($G$3:G4)/SUM(BattleDeaths[Weighting])</f>
        <v>0.55000000000000004</v>
      </c>
      <c r="J4" t="s">
        <v>49</v>
      </c>
      <c r="K4">
        <v>20</v>
      </c>
      <c r="L4" s="4">
        <f>SUM($K$3:K4)/SUM(IllnessDeaths[Weighting])</f>
        <v>0.4</v>
      </c>
      <c r="N4" t="s">
        <v>67</v>
      </c>
      <c r="O4">
        <v>10</v>
      </c>
      <c r="P4" s="4">
        <f>SUM($O$3:O4)/SUM(IntrigueDeaths[Weighting])</f>
        <v>0.2</v>
      </c>
      <c r="R4" t="s">
        <v>152</v>
      </c>
      <c r="S4">
        <v>2</v>
      </c>
      <c r="T4" s="3">
        <f>SUM($S$3:S4)/SUM(Sexuality[Weighting])</f>
        <v>0.95</v>
      </c>
      <c r="V4" t="s">
        <v>155</v>
      </c>
      <c r="W4">
        <v>1</v>
      </c>
      <c r="X4" s="3">
        <f>SUM($W$3:W4)/SUM(Nicknames[Weighting])</f>
        <v>0.97485380116959064</v>
      </c>
      <c r="AA4" t="s">
        <v>101</v>
      </c>
      <c r="AB4">
        <v>1</v>
      </c>
      <c r="AC4" s="3">
        <f>SUM($AB$3:AB4)/SUM(PersonalityTraits[Weighting])</f>
        <v>5.7142857142857141E-2</v>
      </c>
      <c r="AE4">
        <v>2</v>
      </c>
      <c r="AF4">
        <v>3</v>
      </c>
      <c r="AG4">
        <v>3</v>
      </c>
      <c r="AH4">
        <v>3</v>
      </c>
      <c r="AI4">
        <v>3</v>
      </c>
      <c r="AJ4">
        <v>3</v>
      </c>
      <c r="AK4">
        <v>3</v>
      </c>
      <c r="AL4" s="3">
        <f>SUM($AF$3:AF4)/SUM(Skills[Diplomacy])</f>
        <v>0.04</v>
      </c>
      <c r="AM4" s="3">
        <f>SUM($AG$3:AG4)/SUM(Skills[Martial])</f>
        <v>0.04</v>
      </c>
      <c r="AN4" s="3">
        <f>SUM($AH$3:AH4)/SUM(Skills[Stewardship])</f>
        <v>0.04</v>
      </c>
      <c r="AO4" s="3">
        <f>SUM($AI$3:AI4)/SUM(Skills[Intrigue])</f>
        <v>0.04</v>
      </c>
      <c r="AP4" s="3">
        <f>SUM($AJ$3:AJ4)/SUM(Skills[Learning])</f>
        <v>0.04</v>
      </c>
      <c r="AQ4" s="3">
        <f>SUM($AK$3:AK4)/SUM(Skills[Prowess])</f>
        <v>0.04</v>
      </c>
      <c r="AS4">
        <v>2</v>
      </c>
      <c r="AT4">
        <v>30</v>
      </c>
      <c r="AU4" s="3">
        <f>SUM($AT$3:AT4)/SUM(Education[Weighting])</f>
        <v>0.4</v>
      </c>
    </row>
    <row r="5" spans="2:47" x14ac:dyDescent="0.25">
      <c r="B5" t="s">
        <v>385</v>
      </c>
      <c r="D5" t="s">
        <v>619</v>
      </c>
      <c r="F5" t="s">
        <v>41</v>
      </c>
      <c r="G5">
        <v>10</v>
      </c>
      <c r="H5" s="3">
        <f>SUM($G$3:G5)/SUM(BattleDeaths[Weighting])</f>
        <v>0.65</v>
      </c>
      <c r="J5" t="s">
        <v>50</v>
      </c>
      <c r="K5">
        <v>15</v>
      </c>
      <c r="L5" s="4">
        <f>SUM($K$3:K5)/SUM(IllnessDeaths[Weighting])</f>
        <v>0.55000000000000004</v>
      </c>
      <c r="N5" t="s">
        <v>71</v>
      </c>
      <c r="O5">
        <v>10</v>
      </c>
      <c r="P5" s="4">
        <f>SUM($O$3:O5)/SUM(IntrigueDeaths[Weighting])</f>
        <v>0.3</v>
      </c>
      <c r="R5" t="s">
        <v>153</v>
      </c>
      <c r="S5">
        <v>3</v>
      </c>
      <c r="T5" s="3">
        <f>SUM($S$3:S5)/SUM(Sexuality[Weighting])</f>
        <v>0.98</v>
      </c>
      <c r="V5" t="s">
        <v>156</v>
      </c>
      <c r="W5">
        <v>1</v>
      </c>
      <c r="X5" s="3">
        <f>SUM($W$3:W5)/SUM(Nicknames[Weighting])</f>
        <v>0.97504873294346983</v>
      </c>
      <c r="AA5" t="s">
        <v>102</v>
      </c>
      <c r="AB5">
        <v>1</v>
      </c>
      <c r="AC5" s="3">
        <f>SUM($AB$3:AB5)/SUM(PersonalityTraits[Weighting])</f>
        <v>8.5714285714285715E-2</v>
      </c>
      <c r="AE5">
        <v>3</v>
      </c>
      <c r="AF5">
        <v>6</v>
      </c>
      <c r="AG5">
        <v>6</v>
      </c>
      <c r="AH5">
        <v>6</v>
      </c>
      <c r="AI5">
        <v>6</v>
      </c>
      <c r="AJ5">
        <v>6</v>
      </c>
      <c r="AK5">
        <v>6</v>
      </c>
      <c r="AL5" s="3">
        <f>SUM($AF$3:AF5)/SUM(Skills[Diplomacy])</f>
        <v>0.1</v>
      </c>
      <c r="AM5" s="3">
        <f>SUM($AG$3:AG5)/SUM(Skills[Martial])</f>
        <v>0.1</v>
      </c>
      <c r="AN5" s="3">
        <f>SUM($AH$3:AH5)/SUM(Skills[Stewardship])</f>
        <v>0.1</v>
      </c>
      <c r="AO5" s="3">
        <f>SUM($AI$3:AI5)/SUM(Skills[Intrigue])</f>
        <v>0.1</v>
      </c>
      <c r="AP5" s="3">
        <f>SUM($AJ$3:AJ5)/SUM(Skills[Learning])</f>
        <v>0.1</v>
      </c>
      <c r="AQ5" s="3">
        <f>SUM($AK$3:AK5)/SUM(Skills[Prowess])</f>
        <v>0.1</v>
      </c>
      <c r="AS5">
        <v>3</v>
      </c>
      <c r="AT5">
        <v>40</v>
      </c>
      <c r="AU5" s="3">
        <f>SUM($AT$3:AT5)/SUM(Education[Weighting])</f>
        <v>0.8</v>
      </c>
    </row>
    <row r="6" spans="2:47" x14ac:dyDescent="0.25">
      <c r="B6" t="s">
        <v>386</v>
      </c>
      <c r="D6" t="s">
        <v>620</v>
      </c>
      <c r="F6" t="s">
        <v>23</v>
      </c>
      <c r="G6">
        <v>5</v>
      </c>
      <c r="H6" s="3">
        <f>SUM($G$3:G6)/SUM(BattleDeaths[Weighting])</f>
        <v>0.7</v>
      </c>
      <c r="J6" t="s">
        <v>51</v>
      </c>
      <c r="K6">
        <v>10</v>
      </c>
      <c r="L6" s="4">
        <f>SUM($K$3:K6)/SUM(IllnessDeaths[Weighting])</f>
        <v>0.65</v>
      </c>
      <c r="N6" t="s">
        <v>64</v>
      </c>
      <c r="O6">
        <v>5</v>
      </c>
      <c r="P6" s="4">
        <f>SUM($O$3:O6)/SUM(IntrigueDeaths[Weighting])</f>
        <v>0.35</v>
      </c>
      <c r="R6" t="s">
        <v>154</v>
      </c>
      <c r="S6">
        <v>2</v>
      </c>
      <c r="T6" s="3">
        <f>SUM($S$3:S6)/SUM(Sexuality[Weighting])</f>
        <v>1</v>
      </c>
      <c r="V6" t="s">
        <v>157</v>
      </c>
      <c r="W6">
        <v>1</v>
      </c>
      <c r="X6" s="3">
        <f>SUM($W$3:W6)/SUM(Nicknames[Weighting])</f>
        <v>0.97524366471734891</v>
      </c>
      <c r="AA6" t="s">
        <v>103</v>
      </c>
      <c r="AB6">
        <v>1</v>
      </c>
      <c r="AC6" s="3">
        <f>SUM($AB$3:AB6)/SUM(PersonalityTraits[Weighting])</f>
        <v>0.11428571428571428</v>
      </c>
      <c r="AE6">
        <v>4</v>
      </c>
      <c r="AF6">
        <v>12</v>
      </c>
      <c r="AG6">
        <v>12</v>
      </c>
      <c r="AH6">
        <v>12</v>
      </c>
      <c r="AI6">
        <v>12</v>
      </c>
      <c r="AJ6">
        <v>12</v>
      </c>
      <c r="AK6">
        <v>12</v>
      </c>
      <c r="AL6" s="3">
        <f>SUM($AF$3:AF6)/SUM(Skills[Diplomacy])</f>
        <v>0.22</v>
      </c>
      <c r="AM6" s="3">
        <f>SUM($AG$3:AG6)/SUM(Skills[Martial])</f>
        <v>0.22</v>
      </c>
      <c r="AN6" s="3">
        <f>SUM($AH$3:AH6)/SUM(Skills[Stewardship])</f>
        <v>0.22</v>
      </c>
      <c r="AO6" s="3">
        <f>SUM($AI$3:AI6)/SUM(Skills[Intrigue])</f>
        <v>0.22</v>
      </c>
      <c r="AP6" s="3">
        <f>SUM($AJ$3:AJ6)/SUM(Skills[Learning])</f>
        <v>0.22</v>
      </c>
      <c r="AQ6" s="3">
        <f>SUM($AK$3:AK6)/SUM(Skills[Prowess])</f>
        <v>0.22</v>
      </c>
      <c r="AS6">
        <v>4</v>
      </c>
      <c r="AT6">
        <v>20</v>
      </c>
      <c r="AU6" s="3">
        <f>SUM($AT$3:AT6)/SUM(Education[Weighting])</f>
        <v>1</v>
      </c>
    </row>
    <row r="7" spans="2:47" x14ac:dyDescent="0.25">
      <c r="B7" t="s">
        <v>387</v>
      </c>
      <c r="D7" t="s">
        <v>621</v>
      </c>
      <c r="F7" t="s">
        <v>42</v>
      </c>
      <c r="G7">
        <v>5</v>
      </c>
      <c r="H7" s="3">
        <f>SUM($G$3:G7)/SUM(BattleDeaths[Weighting])</f>
        <v>0.75</v>
      </c>
      <c r="J7" t="s">
        <v>52</v>
      </c>
      <c r="K7">
        <v>10</v>
      </c>
      <c r="L7" s="4">
        <f>SUM($K$3:K7)/SUM(IllnessDeaths[Weighting])</f>
        <v>0.75</v>
      </c>
      <c r="N7" t="s">
        <v>66</v>
      </c>
      <c r="O7">
        <v>5</v>
      </c>
      <c r="P7" s="4">
        <f>SUM($O$3:O7)/SUM(IntrigueDeaths[Weighting])</f>
        <v>0.4</v>
      </c>
      <c r="V7" t="s">
        <v>158</v>
      </c>
      <c r="W7">
        <v>1</v>
      </c>
      <c r="X7" s="3">
        <f>SUM($W$3:W7)/SUM(Nicknames[Weighting])</f>
        <v>0.9754385964912281</v>
      </c>
      <c r="AA7" t="s">
        <v>104</v>
      </c>
      <c r="AB7">
        <v>1</v>
      </c>
      <c r="AC7" s="3">
        <f>SUM($AB$3:AB7)/SUM(PersonalityTraits[Weighting])</f>
        <v>0.14285714285714285</v>
      </c>
      <c r="AE7">
        <v>5</v>
      </c>
      <c r="AF7">
        <v>18</v>
      </c>
      <c r="AG7">
        <v>18</v>
      </c>
      <c r="AH7">
        <v>18</v>
      </c>
      <c r="AI7">
        <v>18</v>
      </c>
      <c r="AJ7">
        <v>18</v>
      </c>
      <c r="AK7">
        <v>18</v>
      </c>
      <c r="AL7" s="3">
        <f>SUM($AF$3:AF7)/SUM(Skills[Diplomacy])</f>
        <v>0.4</v>
      </c>
      <c r="AM7" s="3">
        <f>SUM($AG$3:AG7)/SUM(Skills[Martial])</f>
        <v>0.4</v>
      </c>
      <c r="AN7" s="3">
        <f>SUM($AH$3:AH7)/SUM(Skills[Stewardship])</f>
        <v>0.4</v>
      </c>
      <c r="AO7" s="3">
        <f>SUM($AI$3:AI7)/SUM(Skills[Intrigue])</f>
        <v>0.4</v>
      </c>
      <c r="AP7" s="3">
        <f>SUM($AJ$3:AJ7)/SUM(Skills[Learning])</f>
        <v>0.4</v>
      </c>
      <c r="AQ7" s="3">
        <f>SUM($AK$3:AK7)/SUM(Skills[Prowess])</f>
        <v>0.4</v>
      </c>
    </row>
    <row r="8" spans="2:47" x14ac:dyDescent="0.25">
      <c r="B8" t="s">
        <v>388</v>
      </c>
      <c r="D8" t="s">
        <v>353</v>
      </c>
      <c r="F8" t="s">
        <v>43</v>
      </c>
      <c r="G8">
        <v>5</v>
      </c>
      <c r="H8" s="3">
        <f>SUM($G$3:G8)/SUM(BattleDeaths[Weighting])</f>
        <v>0.8</v>
      </c>
      <c r="J8" t="s">
        <v>53</v>
      </c>
      <c r="K8">
        <v>10</v>
      </c>
      <c r="L8" s="4">
        <f>SUM($K$3:K8)/SUM(IllnessDeaths[Weighting])</f>
        <v>0.85</v>
      </c>
      <c r="N8" t="s">
        <v>68</v>
      </c>
      <c r="O8">
        <v>5</v>
      </c>
      <c r="P8" s="4">
        <f>SUM($O$3:O8)/SUM(IntrigueDeaths[Weighting])</f>
        <v>0.45</v>
      </c>
      <c r="V8" t="s">
        <v>159</v>
      </c>
      <c r="W8">
        <v>1</v>
      </c>
      <c r="X8" s="3">
        <f>SUM($W$3:W8)/SUM(Nicknames[Weighting])</f>
        <v>0.97563352826510719</v>
      </c>
      <c r="AA8" t="s">
        <v>105</v>
      </c>
      <c r="AB8">
        <v>1</v>
      </c>
      <c r="AC8" s="3">
        <f>SUM($AB$3:AB8)/SUM(PersonalityTraits[Weighting])</f>
        <v>0.17142857142857143</v>
      </c>
      <c r="AE8">
        <v>6</v>
      </c>
      <c r="AF8">
        <v>20</v>
      </c>
      <c r="AG8">
        <v>20</v>
      </c>
      <c r="AH8">
        <v>20</v>
      </c>
      <c r="AI8">
        <v>20</v>
      </c>
      <c r="AJ8">
        <v>20</v>
      </c>
      <c r="AK8">
        <v>20</v>
      </c>
      <c r="AL8" s="3">
        <f>SUM($AF$3:AF8)/SUM(Skills[Diplomacy])</f>
        <v>0.6</v>
      </c>
      <c r="AM8" s="3">
        <f>SUM($AG$3:AG8)/SUM(Skills[Martial])</f>
        <v>0.6</v>
      </c>
      <c r="AN8" s="3">
        <f>SUM($AH$3:AH8)/SUM(Skills[Stewardship])</f>
        <v>0.6</v>
      </c>
      <c r="AO8" s="3">
        <f>SUM($AI$3:AI8)/SUM(Skills[Intrigue])</f>
        <v>0.6</v>
      </c>
      <c r="AP8" s="3">
        <f>SUM($AJ$3:AJ8)/SUM(Skills[Learning])</f>
        <v>0.6</v>
      </c>
      <c r="AQ8" s="3">
        <f>SUM($AK$3:AK8)/SUM(Skills[Prowess])</f>
        <v>0.6</v>
      </c>
    </row>
    <row r="9" spans="2:47" x14ac:dyDescent="0.25">
      <c r="B9" t="s">
        <v>389</v>
      </c>
      <c r="D9" t="s">
        <v>622</v>
      </c>
      <c r="F9" t="s">
        <v>44</v>
      </c>
      <c r="G9">
        <v>5</v>
      </c>
      <c r="H9" s="3">
        <f>SUM($G$3:G9)/SUM(BattleDeaths[Weighting])</f>
        <v>0.85</v>
      </c>
      <c r="J9" t="s">
        <v>54</v>
      </c>
      <c r="K9">
        <v>5</v>
      </c>
      <c r="L9" s="4">
        <f>SUM($K$3:K9)/SUM(IllnessDeaths[Weighting])</f>
        <v>0.9</v>
      </c>
      <c r="N9" t="s">
        <v>69</v>
      </c>
      <c r="O9">
        <v>5</v>
      </c>
      <c r="P9" s="4">
        <f>SUM($O$3:O9)/SUM(IntrigueDeaths[Weighting])</f>
        <v>0.5</v>
      </c>
      <c r="V9" t="s">
        <v>160</v>
      </c>
      <c r="W9">
        <v>1</v>
      </c>
      <c r="X9" s="3">
        <f>SUM($W$3:W9)/SUM(Nicknames[Weighting])</f>
        <v>0.97582846003898638</v>
      </c>
      <c r="AA9" t="s">
        <v>106</v>
      </c>
      <c r="AB9">
        <v>1</v>
      </c>
      <c r="AC9" s="3">
        <f>SUM($AB$3:AB9)/SUM(PersonalityTraits[Weighting])</f>
        <v>0.2</v>
      </c>
      <c r="AE9">
        <v>7</v>
      </c>
      <c r="AF9">
        <v>18</v>
      </c>
      <c r="AG9">
        <v>18</v>
      </c>
      <c r="AH9">
        <v>18</v>
      </c>
      <c r="AI9">
        <v>18</v>
      </c>
      <c r="AJ9">
        <v>18</v>
      </c>
      <c r="AK9">
        <v>18</v>
      </c>
      <c r="AL9" s="3">
        <f>SUM($AF$3:AF9)/SUM(Skills[Diplomacy])</f>
        <v>0.78</v>
      </c>
      <c r="AM9" s="3">
        <f>SUM($AG$3:AG9)/SUM(Skills[Martial])</f>
        <v>0.78</v>
      </c>
      <c r="AN9" s="3">
        <f>SUM($AH$3:AH9)/SUM(Skills[Stewardship])</f>
        <v>0.78</v>
      </c>
      <c r="AO9" s="3">
        <f>SUM($AI$3:AI9)/SUM(Skills[Intrigue])</f>
        <v>0.78</v>
      </c>
      <c r="AP9" s="3">
        <f>SUM($AJ$3:AJ9)/SUM(Skills[Learning])</f>
        <v>0.78</v>
      </c>
      <c r="AQ9" s="3">
        <f>SUM($AK$3:AK9)/SUM(Skills[Prowess])</f>
        <v>0.78</v>
      </c>
    </row>
    <row r="10" spans="2:47" x14ac:dyDescent="0.25">
      <c r="B10" t="s">
        <v>390</v>
      </c>
      <c r="D10" t="s">
        <v>623</v>
      </c>
      <c r="F10" t="s">
        <v>24</v>
      </c>
      <c r="G10">
        <v>4</v>
      </c>
      <c r="H10" s="3">
        <f>SUM($G$3:G10)/SUM(BattleDeaths[Weighting])</f>
        <v>0.89</v>
      </c>
      <c r="J10" t="s">
        <v>55</v>
      </c>
      <c r="K10">
        <v>2</v>
      </c>
      <c r="L10" s="4">
        <f>SUM($K$3:K10)/SUM(IllnessDeaths[Weighting])</f>
        <v>0.92</v>
      </c>
      <c r="N10" t="s">
        <v>70</v>
      </c>
      <c r="O10">
        <v>5</v>
      </c>
      <c r="P10" s="4">
        <f>SUM($O$3:O10)/SUM(IntrigueDeaths[Weighting])</f>
        <v>0.55000000000000004</v>
      </c>
      <c r="V10" t="s">
        <v>161</v>
      </c>
      <c r="W10">
        <v>1</v>
      </c>
      <c r="X10" s="3">
        <f>SUM($W$3:W10)/SUM(Nicknames[Weighting])</f>
        <v>0.97602339181286546</v>
      </c>
      <c r="AA10" t="s">
        <v>107</v>
      </c>
      <c r="AB10">
        <v>1</v>
      </c>
      <c r="AC10" s="3">
        <f>SUM($AB$3:AB10)/SUM(PersonalityTraits[Weighting])</f>
        <v>0.22857142857142856</v>
      </c>
      <c r="AE10">
        <v>8</v>
      </c>
      <c r="AF10">
        <v>12</v>
      </c>
      <c r="AG10">
        <v>12</v>
      </c>
      <c r="AH10">
        <v>12</v>
      </c>
      <c r="AI10">
        <v>12</v>
      </c>
      <c r="AJ10">
        <v>12</v>
      </c>
      <c r="AK10">
        <v>12</v>
      </c>
      <c r="AL10" s="3">
        <f>SUM($AF$3:AF10)/SUM(Skills[Diplomacy])</f>
        <v>0.9</v>
      </c>
      <c r="AM10" s="3">
        <f>SUM($AG$3:AG10)/SUM(Skills[Martial])</f>
        <v>0.9</v>
      </c>
      <c r="AN10" s="3">
        <f>SUM($AH$3:AH10)/SUM(Skills[Stewardship])</f>
        <v>0.9</v>
      </c>
      <c r="AO10" s="3">
        <f>SUM($AI$3:AI10)/SUM(Skills[Intrigue])</f>
        <v>0.9</v>
      </c>
      <c r="AP10" s="3">
        <f>SUM($AJ$3:AJ10)/SUM(Skills[Learning])</f>
        <v>0.9</v>
      </c>
      <c r="AQ10" s="3">
        <f>SUM($AK$3:AK10)/SUM(Skills[Prowess])</f>
        <v>0.9</v>
      </c>
    </row>
    <row r="11" spans="2:47" x14ac:dyDescent="0.25">
      <c r="B11" t="s">
        <v>391</v>
      </c>
      <c r="D11" t="s">
        <v>624</v>
      </c>
      <c r="F11" t="s">
        <v>29</v>
      </c>
      <c r="G11">
        <v>1</v>
      </c>
      <c r="H11" s="3">
        <f>SUM($G$3:G11)/SUM(BattleDeaths[Weighting])</f>
        <v>0.9</v>
      </c>
      <c r="J11" t="s">
        <v>56</v>
      </c>
      <c r="K11">
        <v>2</v>
      </c>
      <c r="L11" s="4">
        <f>SUM($K$3:K11)/SUM(IllnessDeaths[Weighting])</f>
        <v>0.94</v>
      </c>
      <c r="N11" t="s">
        <v>72</v>
      </c>
      <c r="O11">
        <v>5</v>
      </c>
      <c r="P11" s="4">
        <f>SUM($O$3:O11)/SUM(IntrigueDeaths[Weighting])</f>
        <v>0.6</v>
      </c>
      <c r="V11" t="s">
        <v>162</v>
      </c>
      <c r="W11">
        <v>1</v>
      </c>
      <c r="X11" s="3">
        <f>SUM($W$3:W11)/SUM(Nicknames[Weighting])</f>
        <v>0.97621832358674465</v>
      </c>
      <c r="AA11" t="s">
        <v>108</v>
      </c>
      <c r="AB11">
        <v>1</v>
      </c>
      <c r="AC11" s="3">
        <f>SUM($AB$3:AB11)/SUM(PersonalityTraits[Weighting])</f>
        <v>0.25714285714285712</v>
      </c>
      <c r="AE11">
        <v>9</v>
      </c>
      <c r="AF11">
        <v>6</v>
      </c>
      <c r="AG11">
        <v>6</v>
      </c>
      <c r="AH11">
        <v>6</v>
      </c>
      <c r="AI11">
        <v>6</v>
      </c>
      <c r="AJ11">
        <v>6</v>
      </c>
      <c r="AK11">
        <v>6</v>
      </c>
      <c r="AL11" s="3">
        <f>SUM($AF$3:AF11)/SUM(Skills[Diplomacy])</f>
        <v>0.96</v>
      </c>
      <c r="AM11" s="3">
        <f>SUM($AG$3:AG11)/SUM(Skills[Martial])</f>
        <v>0.96</v>
      </c>
      <c r="AN11" s="3">
        <f>SUM($AH$3:AH11)/SUM(Skills[Stewardship])</f>
        <v>0.96</v>
      </c>
      <c r="AO11" s="3">
        <f>SUM($AI$3:AI11)/SUM(Skills[Intrigue])</f>
        <v>0.96</v>
      </c>
      <c r="AP11" s="3">
        <f>SUM($AJ$3:AJ11)/SUM(Skills[Learning])</f>
        <v>0.96</v>
      </c>
      <c r="AQ11" s="3">
        <f>SUM($AK$3:AK11)/SUM(Skills[Prowess])</f>
        <v>0.96</v>
      </c>
    </row>
    <row r="12" spans="2:47" x14ac:dyDescent="0.25">
      <c r="B12" t="s">
        <v>392</v>
      </c>
      <c r="D12" t="s">
        <v>625</v>
      </c>
      <c r="F12" t="s">
        <v>31</v>
      </c>
      <c r="G12">
        <v>1</v>
      </c>
      <c r="H12" s="3">
        <f>SUM($G$3:G12)/SUM(BattleDeaths[Weighting])</f>
        <v>0.91</v>
      </c>
      <c r="J12" t="s">
        <v>57</v>
      </c>
      <c r="K12">
        <v>2</v>
      </c>
      <c r="L12" s="4">
        <f>SUM($K$3:K12)/SUM(IllnessDeaths[Weighting])</f>
        <v>0.96</v>
      </c>
      <c r="N12" t="s">
        <v>73</v>
      </c>
      <c r="O12">
        <v>5</v>
      </c>
      <c r="P12" s="4">
        <f>SUM($O$3:O12)/SUM(IntrigueDeaths[Weighting])</f>
        <v>0.65</v>
      </c>
      <c r="V12" t="s">
        <v>163</v>
      </c>
      <c r="W12">
        <v>1</v>
      </c>
      <c r="X12" s="3">
        <f>SUM($W$3:W12)/SUM(Nicknames[Weighting])</f>
        <v>0.97641325536062373</v>
      </c>
      <c r="AA12" t="s">
        <v>109</v>
      </c>
      <c r="AB12">
        <v>1</v>
      </c>
      <c r="AC12" s="3">
        <f>SUM($AB$3:AB12)/SUM(PersonalityTraits[Weighting])</f>
        <v>0.2857142857142857</v>
      </c>
      <c r="AE12">
        <v>10</v>
      </c>
      <c r="AF12">
        <v>3</v>
      </c>
      <c r="AG12">
        <v>3</v>
      </c>
      <c r="AH12">
        <v>3</v>
      </c>
      <c r="AI12">
        <v>3</v>
      </c>
      <c r="AJ12">
        <v>3</v>
      </c>
      <c r="AK12">
        <v>3</v>
      </c>
      <c r="AL12" s="3">
        <f>SUM($AF$3:AF12)/SUM(Skills[Diplomacy])</f>
        <v>0.99</v>
      </c>
      <c r="AM12" s="3">
        <f>SUM($AG$3:AG12)/SUM(Skills[Martial])</f>
        <v>0.99</v>
      </c>
      <c r="AN12" s="3">
        <f>SUM($AH$3:AH12)/SUM(Skills[Stewardship])</f>
        <v>0.99</v>
      </c>
      <c r="AO12" s="3">
        <f>SUM($AI$3:AI12)/SUM(Skills[Intrigue])</f>
        <v>0.99</v>
      </c>
      <c r="AP12" s="3">
        <f>SUM($AJ$3:AJ12)/SUM(Skills[Learning])</f>
        <v>0.99</v>
      </c>
      <c r="AQ12" s="3">
        <f>SUM($AK$3:AK12)/SUM(Skills[Prowess])</f>
        <v>0.99</v>
      </c>
    </row>
    <row r="13" spans="2:47" x14ac:dyDescent="0.25">
      <c r="B13" t="s">
        <v>318</v>
      </c>
      <c r="D13" t="s">
        <v>626</v>
      </c>
      <c r="F13" t="s">
        <v>32</v>
      </c>
      <c r="G13">
        <v>1</v>
      </c>
      <c r="H13" s="3">
        <f>SUM($G$3:G13)/SUM(BattleDeaths[Weighting])</f>
        <v>0.92</v>
      </c>
      <c r="J13" t="s">
        <v>58</v>
      </c>
      <c r="K13">
        <v>2</v>
      </c>
      <c r="L13" s="4">
        <f>SUM($K$3:K13)/SUM(IllnessDeaths[Weighting])</f>
        <v>0.98</v>
      </c>
      <c r="N13" t="s">
        <v>74</v>
      </c>
      <c r="O13">
        <v>5</v>
      </c>
      <c r="P13" s="4">
        <f>SUM($O$3:O13)/SUM(IntrigueDeaths[Weighting])</f>
        <v>0.7</v>
      </c>
      <c r="V13" t="s">
        <v>164</v>
      </c>
      <c r="W13">
        <v>1</v>
      </c>
      <c r="X13" s="3">
        <f>SUM($W$3:W13)/SUM(Nicknames[Weighting])</f>
        <v>0.97660818713450293</v>
      </c>
      <c r="AA13" t="s">
        <v>110</v>
      </c>
      <c r="AB13">
        <v>1</v>
      </c>
      <c r="AC13" s="3">
        <f>SUM($AB$3:AB13)/SUM(PersonalityTraits[Weighting])</f>
        <v>0.31428571428571428</v>
      </c>
      <c r="AE13">
        <v>11</v>
      </c>
      <c r="AF13">
        <v>1</v>
      </c>
      <c r="AG13">
        <v>1</v>
      </c>
      <c r="AH13">
        <v>1</v>
      </c>
      <c r="AI13">
        <v>1</v>
      </c>
      <c r="AJ13">
        <v>1</v>
      </c>
      <c r="AK13">
        <v>1</v>
      </c>
      <c r="AL13" s="3">
        <f>SUM($AF$3:AF13)/SUM(Skills[Diplomacy])</f>
        <v>1</v>
      </c>
      <c r="AM13" s="3">
        <f>SUM($AG$3:AG13)/SUM(Skills[Martial])</f>
        <v>1</v>
      </c>
      <c r="AN13" s="3">
        <f>SUM($AH$3:AH13)/SUM(Skills[Stewardship])</f>
        <v>1</v>
      </c>
      <c r="AO13" s="3">
        <f>SUM($AI$3:AI13)/SUM(Skills[Intrigue])</f>
        <v>1</v>
      </c>
      <c r="AP13" s="3">
        <f>SUM($AJ$3:AJ13)/SUM(Skills[Learning])</f>
        <v>1</v>
      </c>
      <c r="AQ13" s="3">
        <f>SUM($AK$3:AK13)/SUM(Skills[Prowess])</f>
        <v>1</v>
      </c>
    </row>
    <row r="14" spans="2:47" x14ac:dyDescent="0.25">
      <c r="B14" t="s">
        <v>393</v>
      </c>
      <c r="D14" t="s">
        <v>627</v>
      </c>
      <c r="F14" t="s">
        <v>33</v>
      </c>
      <c r="G14">
        <v>1</v>
      </c>
      <c r="H14" s="3">
        <f>SUM($G$3:G14)/SUM(BattleDeaths[Weighting])</f>
        <v>0.93</v>
      </c>
      <c r="J14" t="s">
        <v>59</v>
      </c>
      <c r="K14">
        <v>1</v>
      </c>
      <c r="L14" s="4">
        <f>SUM($K$3:K14)/SUM(IllnessDeaths[Weighting])</f>
        <v>0.99</v>
      </c>
      <c r="N14" t="s">
        <v>75</v>
      </c>
      <c r="O14">
        <v>5</v>
      </c>
      <c r="P14" s="4">
        <f>SUM($O$3:O14)/SUM(IntrigueDeaths[Weighting])</f>
        <v>0.75</v>
      </c>
      <c r="V14" t="s">
        <v>165</v>
      </c>
      <c r="W14">
        <v>1</v>
      </c>
      <c r="X14" s="3">
        <f>SUM($W$3:W14)/SUM(Nicknames[Weighting])</f>
        <v>0.97680311890838212</v>
      </c>
      <c r="AA14" t="s">
        <v>111</v>
      </c>
      <c r="AB14">
        <v>1</v>
      </c>
      <c r="AC14" s="3">
        <f>SUM($AB$3:AB14)/SUM(PersonalityTraits[Weighting])</f>
        <v>0.34285714285714286</v>
      </c>
      <c r="AE14">
        <v>12</v>
      </c>
      <c r="AF14">
        <v>0</v>
      </c>
      <c r="AG14">
        <v>0</v>
      </c>
      <c r="AH14">
        <v>0</v>
      </c>
      <c r="AI14">
        <v>0</v>
      </c>
      <c r="AJ14">
        <v>0</v>
      </c>
      <c r="AK14">
        <v>0</v>
      </c>
      <c r="AL14" s="3">
        <f>SUM($AF$3:AF14)/SUM(Skills[Diplomacy])</f>
        <v>1</v>
      </c>
      <c r="AM14" s="3">
        <f>SUM($AG$3:AG14)/SUM(Skills[Martial])</f>
        <v>1</v>
      </c>
      <c r="AN14" s="3">
        <f>SUM($AH$3:AH14)/SUM(Skills[Stewardship])</f>
        <v>1</v>
      </c>
      <c r="AO14" s="3">
        <f>SUM($AI$3:AI14)/SUM(Skills[Intrigue])</f>
        <v>1</v>
      </c>
      <c r="AP14" s="3">
        <f>SUM($AJ$3:AJ14)/SUM(Skills[Learning])</f>
        <v>1</v>
      </c>
      <c r="AQ14" s="3">
        <f>SUM($AK$3:AK14)/SUM(Skills[Prowess])</f>
        <v>1</v>
      </c>
    </row>
    <row r="15" spans="2:47" x14ac:dyDescent="0.25">
      <c r="B15" t="s">
        <v>319</v>
      </c>
      <c r="D15" t="s">
        <v>377</v>
      </c>
      <c r="F15" t="s">
        <v>34</v>
      </c>
      <c r="G15">
        <v>1</v>
      </c>
      <c r="H15" s="3">
        <f>SUM($G$3:G15)/SUM(BattleDeaths[Weighting])</f>
        <v>0.94</v>
      </c>
      <c r="J15" t="s">
        <v>60</v>
      </c>
      <c r="K15">
        <v>1</v>
      </c>
      <c r="L15" s="4">
        <f>SUM($K$3:K15)/SUM(IllnessDeaths[Weighting])</f>
        <v>1</v>
      </c>
      <c r="N15" t="s">
        <v>77</v>
      </c>
      <c r="O15">
        <v>5</v>
      </c>
      <c r="P15" s="4">
        <f>SUM($O$3:O15)/SUM(IntrigueDeaths[Weighting])</f>
        <v>0.8</v>
      </c>
      <c r="V15" t="s">
        <v>166</v>
      </c>
      <c r="W15">
        <v>1</v>
      </c>
      <c r="X15" s="3">
        <f>SUM($W$3:W15)/SUM(Nicknames[Weighting])</f>
        <v>0.9769980506822612</v>
      </c>
      <c r="AA15" t="s">
        <v>112</v>
      </c>
      <c r="AB15">
        <v>1</v>
      </c>
      <c r="AC15" s="3">
        <f>SUM($AB$3:AB15)/SUM(PersonalityTraits[Weighting])</f>
        <v>0.37142857142857144</v>
      </c>
      <c r="AE15">
        <v>13</v>
      </c>
      <c r="AF15">
        <v>0</v>
      </c>
      <c r="AG15">
        <v>0</v>
      </c>
      <c r="AH15">
        <v>0</v>
      </c>
      <c r="AI15">
        <v>0</v>
      </c>
      <c r="AJ15">
        <v>0</v>
      </c>
      <c r="AK15">
        <v>0</v>
      </c>
      <c r="AL15" s="3">
        <f>SUM($AF$3:AF15)/SUM(Skills[Diplomacy])</f>
        <v>1</v>
      </c>
      <c r="AM15" s="3">
        <f>SUM($AG$3:AG15)/SUM(Skills[Martial])</f>
        <v>1</v>
      </c>
      <c r="AN15" s="3">
        <f>SUM($AH$3:AH15)/SUM(Skills[Stewardship])</f>
        <v>1</v>
      </c>
      <c r="AO15" s="3">
        <f>SUM($AI$3:AI15)/SUM(Skills[Intrigue])</f>
        <v>1</v>
      </c>
      <c r="AP15" s="3">
        <f>SUM($AJ$3:AJ15)/SUM(Skills[Learning])</f>
        <v>1</v>
      </c>
      <c r="AQ15" s="3">
        <f>SUM($AK$3:AK15)/SUM(Skills[Prowess])</f>
        <v>1</v>
      </c>
    </row>
    <row r="16" spans="2:47" x14ac:dyDescent="0.25">
      <c r="B16" t="s">
        <v>320</v>
      </c>
      <c r="D16" t="s">
        <v>354</v>
      </c>
      <c r="F16" t="s">
        <v>35</v>
      </c>
      <c r="G16">
        <v>1</v>
      </c>
      <c r="H16" s="3">
        <f>SUM($G$3:G16)/SUM(BattleDeaths[Weighting])</f>
        <v>0.95</v>
      </c>
      <c r="J16" t="s">
        <v>61</v>
      </c>
      <c r="K16">
        <v>0</v>
      </c>
      <c r="L16" s="4">
        <f>SUM($K$3:K16)/SUM(IllnessDeaths[Weighting])</f>
        <v>1</v>
      </c>
      <c r="N16" t="s">
        <v>78</v>
      </c>
      <c r="O16">
        <v>5</v>
      </c>
      <c r="P16" s="4">
        <f>SUM($O$3:O16)/SUM(IntrigueDeaths[Weighting])</f>
        <v>0.85</v>
      </c>
      <c r="V16" t="s">
        <v>167</v>
      </c>
      <c r="W16">
        <v>1</v>
      </c>
      <c r="X16" s="3">
        <f>SUM($W$3:W16)/SUM(Nicknames[Weighting])</f>
        <v>0.97719298245614039</v>
      </c>
      <c r="AA16" t="s">
        <v>113</v>
      </c>
      <c r="AB16">
        <v>1</v>
      </c>
      <c r="AC16" s="3">
        <f>SUM($AB$3:AB16)/SUM(PersonalityTraits[Weighting])</f>
        <v>0.4</v>
      </c>
      <c r="AE16">
        <v>14</v>
      </c>
      <c r="AF16">
        <v>0</v>
      </c>
      <c r="AG16">
        <v>0</v>
      </c>
      <c r="AH16">
        <v>0</v>
      </c>
      <c r="AI16">
        <v>0</v>
      </c>
      <c r="AJ16">
        <v>0</v>
      </c>
      <c r="AK16">
        <v>0</v>
      </c>
      <c r="AL16" s="3">
        <f>SUM($AF$3:AF16)/SUM(Skills[Diplomacy])</f>
        <v>1</v>
      </c>
      <c r="AM16" s="3">
        <f>SUM($AG$3:AG16)/SUM(Skills[Martial])</f>
        <v>1</v>
      </c>
      <c r="AN16" s="3">
        <f>SUM($AH$3:AH16)/SUM(Skills[Stewardship])</f>
        <v>1</v>
      </c>
      <c r="AO16" s="3">
        <f>SUM($AI$3:AI16)/SUM(Skills[Intrigue])</f>
        <v>1</v>
      </c>
      <c r="AP16" s="3">
        <f>SUM($AJ$3:AJ16)/SUM(Skills[Learning])</f>
        <v>1</v>
      </c>
      <c r="AQ16" s="3">
        <f>SUM($AK$3:AK16)/SUM(Skills[Prowess])</f>
        <v>1</v>
      </c>
    </row>
    <row r="17" spans="2:43" x14ac:dyDescent="0.25">
      <c r="B17" t="s">
        <v>394</v>
      </c>
      <c r="D17" t="s">
        <v>628</v>
      </c>
      <c r="F17" t="s">
        <v>36</v>
      </c>
      <c r="G17">
        <v>1</v>
      </c>
      <c r="H17" s="3">
        <f>SUM($G$3:G17)/SUM(BattleDeaths[Weighting])</f>
        <v>0.96</v>
      </c>
      <c r="J17" t="s">
        <v>62</v>
      </c>
      <c r="K17">
        <v>0</v>
      </c>
      <c r="L17" s="4">
        <f>SUM($K$3:K17)/SUM(IllnessDeaths[Weighting])</f>
        <v>1</v>
      </c>
      <c r="N17" t="s">
        <v>82</v>
      </c>
      <c r="O17">
        <v>5</v>
      </c>
      <c r="P17" s="4">
        <f>SUM($O$3:O17)/SUM(IntrigueDeaths[Weighting])</f>
        <v>0.9</v>
      </c>
      <c r="V17" t="s">
        <v>168</v>
      </c>
      <c r="W17">
        <v>1</v>
      </c>
      <c r="X17" s="3">
        <f>SUM($W$3:W17)/SUM(Nicknames[Weighting])</f>
        <v>0.97738791423001947</v>
      </c>
      <c r="AA17" t="s">
        <v>114</v>
      </c>
      <c r="AB17">
        <v>1</v>
      </c>
      <c r="AC17" s="3">
        <f>SUM($AB$3:AB17)/SUM(PersonalityTraits[Weighting])</f>
        <v>0.42857142857142855</v>
      </c>
      <c r="AE17">
        <v>15</v>
      </c>
      <c r="AF17">
        <v>0</v>
      </c>
      <c r="AG17">
        <v>0</v>
      </c>
      <c r="AH17">
        <v>0</v>
      </c>
      <c r="AI17">
        <v>0</v>
      </c>
      <c r="AJ17">
        <v>0</v>
      </c>
      <c r="AK17">
        <v>0</v>
      </c>
      <c r="AL17" s="3">
        <f>SUM($AF$3:AF17)/SUM(Skills[Diplomacy])</f>
        <v>1</v>
      </c>
      <c r="AM17" s="3">
        <f>SUM($AG$3:AG17)/SUM(Skills[Martial])</f>
        <v>1</v>
      </c>
      <c r="AN17" s="3">
        <f>SUM($AH$3:AH17)/SUM(Skills[Stewardship])</f>
        <v>1</v>
      </c>
      <c r="AO17" s="3">
        <f>SUM($AI$3:AI17)/SUM(Skills[Intrigue])</f>
        <v>1</v>
      </c>
      <c r="AP17" s="3">
        <f>SUM($AJ$3:AJ17)/SUM(Skills[Learning])</f>
        <v>1</v>
      </c>
      <c r="AQ17" s="3">
        <f>SUM($AK$3:AK17)/SUM(Skills[Prowess])</f>
        <v>1</v>
      </c>
    </row>
    <row r="18" spans="2:43" x14ac:dyDescent="0.25">
      <c r="B18" t="s">
        <v>395</v>
      </c>
      <c r="D18" t="s">
        <v>629</v>
      </c>
      <c r="F18" t="s">
        <v>37</v>
      </c>
      <c r="G18">
        <v>1</v>
      </c>
      <c r="H18" s="3">
        <f>SUM($G$3:G18)/SUM(BattleDeaths[Weighting])</f>
        <v>0.97</v>
      </c>
      <c r="J18" t="s">
        <v>63</v>
      </c>
      <c r="K18">
        <v>0</v>
      </c>
      <c r="L18" s="4">
        <f>SUM($K$3:K18)/SUM(IllnessDeaths[Weighting])</f>
        <v>1</v>
      </c>
      <c r="N18" t="s">
        <v>76</v>
      </c>
      <c r="O18">
        <v>2</v>
      </c>
      <c r="P18" s="4">
        <f>SUM($O$3:O18)/SUM(IntrigueDeaths[Weighting])</f>
        <v>0.92</v>
      </c>
      <c r="V18" t="s">
        <v>169</v>
      </c>
      <c r="W18">
        <v>1</v>
      </c>
      <c r="X18" s="3">
        <f>SUM($W$3:W18)/SUM(Nicknames[Weighting])</f>
        <v>0.97758284600389866</v>
      </c>
      <c r="AA18" t="s">
        <v>115</v>
      </c>
      <c r="AB18">
        <v>1</v>
      </c>
      <c r="AC18" s="3">
        <f>SUM($AB$3:AB18)/SUM(PersonalityTraits[Weighting])</f>
        <v>0.45714285714285713</v>
      </c>
      <c r="AE18">
        <v>16</v>
      </c>
      <c r="AF18">
        <v>0</v>
      </c>
      <c r="AG18">
        <v>0</v>
      </c>
      <c r="AH18">
        <v>0</v>
      </c>
      <c r="AI18">
        <v>0</v>
      </c>
      <c r="AJ18">
        <v>0</v>
      </c>
      <c r="AK18">
        <v>0</v>
      </c>
      <c r="AL18" s="3">
        <f>SUM($AF$3:AF18)/SUM(Skills[Diplomacy])</f>
        <v>1</v>
      </c>
      <c r="AM18" s="3">
        <f>SUM($AG$3:AG18)/SUM(Skills[Martial])</f>
        <v>1</v>
      </c>
      <c r="AN18" s="3">
        <f>SUM($AH$3:AH18)/SUM(Skills[Stewardship])</f>
        <v>1</v>
      </c>
      <c r="AO18" s="3">
        <f>SUM($AI$3:AI18)/SUM(Skills[Intrigue])</f>
        <v>1</v>
      </c>
      <c r="AP18" s="3">
        <f>SUM($AJ$3:AJ18)/SUM(Skills[Learning])</f>
        <v>1</v>
      </c>
      <c r="AQ18" s="3">
        <f>SUM($AK$3:AK18)/SUM(Skills[Prowess])</f>
        <v>1</v>
      </c>
    </row>
    <row r="19" spans="2:43" x14ac:dyDescent="0.25">
      <c r="B19" t="s">
        <v>396</v>
      </c>
      <c r="D19" t="s">
        <v>630</v>
      </c>
      <c r="F19" t="s">
        <v>38</v>
      </c>
      <c r="G19">
        <v>1</v>
      </c>
      <c r="H19" s="3">
        <f>SUM($G$3:G19)/SUM(BattleDeaths[Weighting])</f>
        <v>0.98</v>
      </c>
      <c r="N19" t="s">
        <v>83</v>
      </c>
      <c r="O19">
        <v>2</v>
      </c>
      <c r="P19" s="4">
        <f>SUM($O$3:O19)/SUM(IntrigueDeaths[Weighting])</f>
        <v>0.94</v>
      </c>
      <c r="V19" t="s">
        <v>170</v>
      </c>
      <c r="W19">
        <v>1</v>
      </c>
      <c r="X19" s="3">
        <f>SUM($W$3:W19)/SUM(Nicknames[Weighting])</f>
        <v>0.97777777777777775</v>
      </c>
      <c r="AA19" t="s">
        <v>116</v>
      </c>
      <c r="AB19">
        <v>1</v>
      </c>
      <c r="AC19" s="3">
        <f>SUM($AB$3:AB19)/SUM(PersonalityTraits[Weighting])</f>
        <v>0.48571428571428571</v>
      </c>
      <c r="AE19">
        <v>17</v>
      </c>
      <c r="AF19">
        <v>0</v>
      </c>
      <c r="AG19">
        <v>0</v>
      </c>
      <c r="AH19">
        <v>0</v>
      </c>
      <c r="AI19">
        <v>0</v>
      </c>
      <c r="AJ19">
        <v>0</v>
      </c>
      <c r="AK19">
        <v>0</v>
      </c>
      <c r="AL19" s="3">
        <f>SUM($AF$3:AF19)/SUM(Skills[Diplomacy])</f>
        <v>1</v>
      </c>
      <c r="AM19" s="3">
        <f>SUM($AG$3:AG19)/SUM(Skills[Martial])</f>
        <v>1</v>
      </c>
      <c r="AN19" s="3">
        <f>SUM($AH$3:AH19)/SUM(Skills[Stewardship])</f>
        <v>1</v>
      </c>
      <c r="AO19" s="3">
        <f>SUM($AI$3:AI19)/SUM(Skills[Intrigue])</f>
        <v>1</v>
      </c>
      <c r="AP19" s="3">
        <f>SUM($AJ$3:AJ19)/SUM(Skills[Learning])</f>
        <v>1</v>
      </c>
      <c r="AQ19" s="3">
        <f>SUM($AK$3:AK19)/SUM(Skills[Prowess])</f>
        <v>1</v>
      </c>
    </row>
    <row r="20" spans="2:43" x14ac:dyDescent="0.25">
      <c r="B20" t="s">
        <v>397</v>
      </c>
      <c r="D20" t="s">
        <v>631</v>
      </c>
      <c r="F20" t="s">
        <v>39</v>
      </c>
      <c r="G20">
        <v>1</v>
      </c>
      <c r="H20" s="3">
        <f>SUM($G$3:G20)/SUM(BattleDeaths[Weighting])</f>
        <v>0.99</v>
      </c>
      <c r="N20" t="s">
        <v>84</v>
      </c>
      <c r="O20">
        <v>2</v>
      </c>
      <c r="P20" s="4">
        <f>SUM($O$3:O20)/SUM(IntrigueDeaths[Weighting])</f>
        <v>0.96</v>
      </c>
      <c r="V20" t="s">
        <v>171</v>
      </c>
      <c r="W20">
        <v>1</v>
      </c>
      <c r="X20" s="3">
        <f>SUM($W$3:W20)/SUM(Nicknames[Weighting])</f>
        <v>0.97797270955165694</v>
      </c>
      <c r="AA20" t="s">
        <v>117</v>
      </c>
      <c r="AB20">
        <v>1</v>
      </c>
      <c r="AC20" s="3">
        <f>SUM($AB$3:AB20)/SUM(PersonalityTraits[Weighting])</f>
        <v>0.51428571428571423</v>
      </c>
      <c r="AE20">
        <v>18</v>
      </c>
      <c r="AF20">
        <v>0</v>
      </c>
      <c r="AG20">
        <v>0</v>
      </c>
      <c r="AH20">
        <v>0</v>
      </c>
      <c r="AI20">
        <v>0</v>
      </c>
      <c r="AJ20">
        <v>0</v>
      </c>
      <c r="AK20">
        <v>0</v>
      </c>
      <c r="AL20" s="3">
        <f>SUM($AF$3:AF20)/SUM(Skills[Diplomacy])</f>
        <v>1</v>
      </c>
      <c r="AM20" s="3">
        <f>SUM($AG$3:AG20)/SUM(Skills[Martial])</f>
        <v>1</v>
      </c>
      <c r="AN20" s="3">
        <f>SUM($AH$3:AH20)/SUM(Skills[Stewardship])</f>
        <v>1</v>
      </c>
      <c r="AO20" s="3">
        <f>SUM($AI$3:AI20)/SUM(Skills[Intrigue])</f>
        <v>1</v>
      </c>
      <c r="AP20" s="3">
        <f>SUM($AJ$3:AJ20)/SUM(Skills[Learning])</f>
        <v>1</v>
      </c>
      <c r="AQ20" s="3">
        <f>SUM($AK$3:AK20)/SUM(Skills[Prowess])</f>
        <v>1</v>
      </c>
    </row>
    <row r="21" spans="2:43" x14ac:dyDescent="0.25">
      <c r="B21" t="s">
        <v>398</v>
      </c>
      <c r="D21" t="s">
        <v>414</v>
      </c>
      <c r="F21" t="s">
        <v>40</v>
      </c>
      <c r="G21">
        <v>1</v>
      </c>
      <c r="H21" s="3">
        <f>SUM($G$3:G21)/SUM(BattleDeaths[Weighting])</f>
        <v>1</v>
      </c>
      <c r="N21" t="s">
        <v>85</v>
      </c>
      <c r="O21">
        <v>2</v>
      </c>
      <c r="P21" s="4">
        <f>SUM($O$3:O21)/SUM(IntrigueDeaths[Weighting])</f>
        <v>0.98</v>
      </c>
      <c r="V21" t="s">
        <v>172</v>
      </c>
      <c r="W21">
        <v>1</v>
      </c>
      <c r="X21" s="3">
        <f>SUM($W$3:W21)/SUM(Nicknames[Weighting])</f>
        <v>0.97816764132553602</v>
      </c>
      <c r="AA21" t="s">
        <v>118</v>
      </c>
      <c r="AB21">
        <v>1</v>
      </c>
      <c r="AC21" s="3">
        <f>SUM($AB$3:AB21)/SUM(PersonalityTraits[Weighting])</f>
        <v>0.54285714285714282</v>
      </c>
      <c r="AE21">
        <v>19</v>
      </c>
      <c r="AF21">
        <v>0</v>
      </c>
      <c r="AG21">
        <v>0</v>
      </c>
      <c r="AH21">
        <v>0</v>
      </c>
      <c r="AI21">
        <v>0</v>
      </c>
      <c r="AJ21">
        <v>0</v>
      </c>
      <c r="AK21">
        <v>0</v>
      </c>
      <c r="AL21" s="3">
        <f>SUM($AF$3:AF21)/SUM(Skills[Diplomacy])</f>
        <v>1</v>
      </c>
      <c r="AM21" s="3">
        <f>SUM($AG$3:AG21)/SUM(Skills[Martial])</f>
        <v>1</v>
      </c>
      <c r="AN21" s="3">
        <f>SUM($AH$3:AH21)/SUM(Skills[Stewardship])</f>
        <v>1</v>
      </c>
      <c r="AO21" s="3">
        <f>SUM($AI$3:AI21)/SUM(Skills[Intrigue])</f>
        <v>1</v>
      </c>
      <c r="AP21" s="3">
        <f>SUM($AJ$3:AJ21)/SUM(Skills[Learning])</f>
        <v>1</v>
      </c>
      <c r="AQ21" s="3">
        <f>SUM($AK$3:AK21)/SUM(Skills[Prowess])</f>
        <v>1</v>
      </c>
    </row>
    <row r="22" spans="2:43" x14ac:dyDescent="0.25">
      <c r="B22" t="s">
        <v>399</v>
      </c>
      <c r="D22" t="s">
        <v>632</v>
      </c>
      <c r="N22" t="s">
        <v>89</v>
      </c>
      <c r="O22">
        <v>2</v>
      </c>
      <c r="P22" s="4">
        <f>SUM($O$3:O22)/SUM(IntrigueDeaths[Weighting])</f>
        <v>1</v>
      </c>
      <c r="V22" t="s">
        <v>173</v>
      </c>
      <c r="W22">
        <v>1</v>
      </c>
      <c r="X22" s="3">
        <f>SUM($W$3:W22)/SUM(Nicknames[Weighting])</f>
        <v>0.97836257309941521</v>
      </c>
      <c r="AA22" t="s">
        <v>119</v>
      </c>
      <c r="AB22">
        <v>1</v>
      </c>
      <c r="AC22" s="3">
        <f>SUM($AB$3:AB22)/SUM(PersonalityTraits[Weighting])</f>
        <v>0.5714285714285714</v>
      </c>
      <c r="AE22">
        <v>20</v>
      </c>
      <c r="AF22">
        <v>0</v>
      </c>
      <c r="AG22">
        <v>0</v>
      </c>
      <c r="AH22">
        <v>0</v>
      </c>
      <c r="AI22">
        <v>0</v>
      </c>
      <c r="AJ22">
        <v>0</v>
      </c>
      <c r="AK22">
        <v>0</v>
      </c>
      <c r="AL22" s="3">
        <f>SUM($AF$3:AF22)/SUM(Skills[Diplomacy])</f>
        <v>1</v>
      </c>
      <c r="AM22" s="3">
        <f>SUM($AG$3:AG22)/SUM(Skills[Martial])</f>
        <v>1</v>
      </c>
      <c r="AN22" s="3">
        <f>SUM($AH$3:AH22)/SUM(Skills[Stewardship])</f>
        <v>1</v>
      </c>
      <c r="AO22" s="3">
        <f>SUM($AI$3:AI22)/SUM(Skills[Intrigue])</f>
        <v>1</v>
      </c>
      <c r="AP22" s="3">
        <f>SUM($AJ$3:AJ22)/SUM(Skills[Learning])</f>
        <v>1</v>
      </c>
      <c r="AQ22" s="3">
        <f>SUM($AK$3:AK22)/SUM(Skills[Prowess])</f>
        <v>1</v>
      </c>
    </row>
    <row r="23" spans="2:43" x14ac:dyDescent="0.25">
      <c r="B23" t="s">
        <v>400</v>
      </c>
      <c r="D23" t="s">
        <v>633</v>
      </c>
      <c r="N23" t="s">
        <v>79</v>
      </c>
      <c r="O23">
        <v>0</v>
      </c>
      <c r="P23" s="4">
        <f>SUM($O$3:O23)/SUM(IntrigueDeaths[Weighting])</f>
        <v>1</v>
      </c>
      <c r="V23" t="s">
        <v>174</v>
      </c>
      <c r="W23">
        <v>1</v>
      </c>
      <c r="X23" s="3">
        <f>SUM($W$3:W23)/SUM(Nicknames[Weighting])</f>
        <v>0.97855750487329429</v>
      </c>
      <c r="AA23" t="s">
        <v>120</v>
      </c>
      <c r="AB23">
        <v>1</v>
      </c>
      <c r="AC23" s="3">
        <f>SUM($AB$3:AB23)/SUM(PersonalityTraits[Weighting])</f>
        <v>0.6</v>
      </c>
      <c r="AE23">
        <v>21</v>
      </c>
      <c r="AF23">
        <v>0</v>
      </c>
      <c r="AG23">
        <v>0</v>
      </c>
      <c r="AH23">
        <v>0</v>
      </c>
      <c r="AI23">
        <v>0</v>
      </c>
      <c r="AJ23">
        <v>0</v>
      </c>
      <c r="AK23">
        <v>0</v>
      </c>
      <c r="AL23" s="3">
        <f>SUM($AF$3:AF23)/SUM(Skills[Diplomacy])</f>
        <v>1</v>
      </c>
      <c r="AM23" s="3">
        <f>SUM($AG$3:AG23)/SUM(Skills[Martial])</f>
        <v>1</v>
      </c>
      <c r="AN23" s="3">
        <f>SUM($AH$3:AH23)/SUM(Skills[Stewardship])</f>
        <v>1</v>
      </c>
      <c r="AO23" s="3">
        <f>SUM($AI$3:AI23)/SUM(Skills[Intrigue])</f>
        <v>1</v>
      </c>
      <c r="AP23" s="3">
        <f>SUM($AJ$3:AJ23)/SUM(Skills[Learning])</f>
        <v>1</v>
      </c>
      <c r="AQ23" s="3">
        <f>SUM($AK$3:AK23)/SUM(Skills[Prowess])</f>
        <v>1</v>
      </c>
    </row>
    <row r="24" spans="2:43" x14ac:dyDescent="0.25">
      <c r="B24" t="s">
        <v>401</v>
      </c>
      <c r="D24" t="s">
        <v>634</v>
      </c>
      <c r="N24" t="s">
        <v>80</v>
      </c>
      <c r="O24">
        <v>0</v>
      </c>
      <c r="P24" s="4">
        <f>SUM($O$3:O24)/SUM(IntrigueDeaths[Weighting])</f>
        <v>1</v>
      </c>
      <c r="V24" t="s">
        <v>175</v>
      </c>
      <c r="W24">
        <v>1</v>
      </c>
      <c r="X24" s="3">
        <f>SUM($W$3:W24)/SUM(Nicknames[Weighting])</f>
        <v>0.97875243664717348</v>
      </c>
      <c r="AA24" t="s">
        <v>121</v>
      </c>
      <c r="AB24">
        <v>1</v>
      </c>
      <c r="AC24" s="3">
        <f>SUM($AB$3:AB24)/SUM(PersonalityTraits[Weighting])</f>
        <v>0.62857142857142856</v>
      </c>
      <c r="AE24">
        <v>22</v>
      </c>
      <c r="AF24">
        <v>0</v>
      </c>
      <c r="AG24">
        <v>0</v>
      </c>
      <c r="AH24">
        <v>0</v>
      </c>
      <c r="AI24">
        <v>0</v>
      </c>
      <c r="AJ24">
        <v>0</v>
      </c>
      <c r="AK24">
        <v>0</v>
      </c>
      <c r="AL24" s="3">
        <f>SUM($AF$3:AF24)/SUM(Skills[Diplomacy])</f>
        <v>1</v>
      </c>
      <c r="AM24" s="3">
        <f>SUM($AG$3:AG24)/SUM(Skills[Martial])</f>
        <v>1</v>
      </c>
      <c r="AN24" s="3">
        <f>SUM($AH$3:AH24)/SUM(Skills[Stewardship])</f>
        <v>1</v>
      </c>
      <c r="AO24" s="3">
        <f>SUM($AI$3:AI24)/SUM(Skills[Intrigue])</f>
        <v>1</v>
      </c>
      <c r="AP24" s="3">
        <f>SUM($AJ$3:AJ24)/SUM(Skills[Learning])</f>
        <v>1</v>
      </c>
      <c r="AQ24" s="3">
        <f>SUM($AK$3:AK24)/SUM(Skills[Prowess])</f>
        <v>1</v>
      </c>
    </row>
    <row r="25" spans="2:43" x14ac:dyDescent="0.25">
      <c r="B25" t="s">
        <v>402</v>
      </c>
      <c r="D25" t="s">
        <v>635</v>
      </c>
      <c r="N25" t="s">
        <v>81</v>
      </c>
      <c r="O25">
        <v>0</v>
      </c>
      <c r="P25" s="4">
        <f>SUM($O$3:O25)/SUM(IntrigueDeaths[Weighting])</f>
        <v>1</v>
      </c>
      <c r="V25" t="s">
        <v>176</v>
      </c>
      <c r="W25">
        <v>1</v>
      </c>
      <c r="X25" s="3">
        <f>SUM($W$3:W25)/SUM(Nicknames[Weighting])</f>
        <v>0.97894736842105268</v>
      </c>
      <c r="AA25" t="s">
        <v>122</v>
      </c>
      <c r="AB25">
        <v>1</v>
      </c>
      <c r="AC25" s="3">
        <f>SUM($AB$3:AB25)/SUM(PersonalityTraits[Weighting])</f>
        <v>0.65714285714285714</v>
      </c>
      <c r="AE25">
        <v>23</v>
      </c>
      <c r="AF25">
        <v>0</v>
      </c>
      <c r="AG25">
        <v>0</v>
      </c>
      <c r="AH25">
        <v>0</v>
      </c>
      <c r="AI25">
        <v>0</v>
      </c>
      <c r="AJ25">
        <v>0</v>
      </c>
      <c r="AK25">
        <v>0</v>
      </c>
      <c r="AL25" s="3">
        <f>SUM($AF$3:AF25)/SUM(Skills[Diplomacy])</f>
        <v>1</v>
      </c>
      <c r="AM25" s="3">
        <f>SUM($AG$3:AG25)/SUM(Skills[Martial])</f>
        <v>1</v>
      </c>
      <c r="AN25" s="3">
        <f>SUM($AH$3:AH25)/SUM(Skills[Stewardship])</f>
        <v>1</v>
      </c>
      <c r="AO25" s="3">
        <f>SUM($AI$3:AI25)/SUM(Skills[Intrigue])</f>
        <v>1</v>
      </c>
      <c r="AP25" s="3">
        <f>SUM($AJ$3:AJ25)/SUM(Skills[Learning])</f>
        <v>1</v>
      </c>
      <c r="AQ25" s="3">
        <f>SUM($AK$3:AK25)/SUM(Skills[Prowess])</f>
        <v>1</v>
      </c>
    </row>
    <row r="26" spans="2:43" x14ac:dyDescent="0.25">
      <c r="B26" t="s">
        <v>403</v>
      </c>
      <c r="D26" t="s">
        <v>636</v>
      </c>
      <c r="N26" t="s">
        <v>86</v>
      </c>
      <c r="O26">
        <v>0</v>
      </c>
      <c r="P26" s="4">
        <f>SUM($O$3:O26)/SUM(IntrigueDeaths[Weighting])</f>
        <v>1</v>
      </c>
      <c r="V26" t="s">
        <v>177</v>
      </c>
      <c r="W26">
        <v>1</v>
      </c>
      <c r="X26" s="3">
        <f>SUM($W$3:W26)/SUM(Nicknames[Weighting])</f>
        <v>0.97914230019493176</v>
      </c>
      <c r="AA26" t="s">
        <v>123</v>
      </c>
      <c r="AB26">
        <v>1</v>
      </c>
      <c r="AC26" s="3">
        <f>SUM($AB$3:AB26)/SUM(PersonalityTraits[Weighting])</f>
        <v>0.68571428571428572</v>
      </c>
      <c r="AE26">
        <v>24</v>
      </c>
      <c r="AF26">
        <v>0</v>
      </c>
      <c r="AG26">
        <v>0</v>
      </c>
      <c r="AH26">
        <v>0</v>
      </c>
      <c r="AI26">
        <v>0</v>
      </c>
      <c r="AJ26">
        <v>0</v>
      </c>
      <c r="AK26">
        <v>0</v>
      </c>
      <c r="AL26" s="3">
        <f>SUM($AF$3:AF26)/SUM(Skills[Diplomacy])</f>
        <v>1</v>
      </c>
      <c r="AM26" s="3">
        <f>SUM($AG$3:AG26)/SUM(Skills[Martial])</f>
        <v>1</v>
      </c>
      <c r="AN26" s="3">
        <f>SUM($AH$3:AH26)/SUM(Skills[Stewardship])</f>
        <v>1</v>
      </c>
      <c r="AO26" s="3">
        <f>SUM($AI$3:AI26)/SUM(Skills[Intrigue])</f>
        <v>1</v>
      </c>
      <c r="AP26" s="3">
        <f>SUM($AJ$3:AJ26)/SUM(Skills[Learning])</f>
        <v>1</v>
      </c>
      <c r="AQ26" s="3">
        <f>SUM($AK$3:AK26)/SUM(Skills[Prowess])</f>
        <v>1</v>
      </c>
    </row>
    <row r="27" spans="2:43" x14ac:dyDescent="0.25">
      <c r="B27" t="s">
        <v>404</v>
      </c>
      <c r="D27" t="s">
        <v>637</v>
      </c>
      <c r="N27" t="s">
        <v>87</v>
      </c>
      <c r="O27">
        <v>0</v>
      </c>
      <c r="P27" s="4">
        <f>SUM($O$3:O27)/SUM(IntrigueDeaths[Weighting])</f>
        <v>1</v>
      </c>
      <c r="V27" t="s">
        <v>178</v>
      </c>
      <c r="W27">
        <v>1</v>
      </c>
      <c r="X27" s="3">
        <f>SUM($W$3:W27)/SUM(Nicknames[Weighting])</f>
        <v>0.97933723196881095</v>
      </c>
      <c r="AA27" t="s">
        <v>124</v>
      </c>
      <c r="AB27">
        <v>1</v>
      </c>
      <c r="AC27" s="3">
        <f>SUM($AB$3:AB27)/SUM(PersonalityTraits[Weighting])</f>
        <v>0.7142857142857143</v>
      </c>
      <c r="AE27">
        <v>25</v>
      </c>
      <c r="AF27">
        <v>0</v>
      </c>
      <c r="AG27">
        <v>0</v>
      </c>
      <c r="AH27">
        <v>0</v>
      </c>
      <c r="AI27">
        <v>0</v>
      </c>
      <c r="AJ27">
        <v>0</v>
      </c>
      <c r="AK27">
        <v>0</v>
      </c>
      <c r="AL27" s="3">
        <f>SUM($AF$3:AF27)/SUM(Skills[Diplomacy])</f>
        <v>1</v>
      </c>
      <c r="AM27" s="3">
        <f>SUM($AG$3:AG27)/SUM(Skills[Martial])</f>
        <v>1</v>
      </c>
      <c r="AN27" s="3">
        <f>SUM($AH$3:AH27)/SUM(Skills[Stewardship])</f>
        <v>1</v>
      </c>
      <c r="AO27" s="3">
        <f>SUM($AI$3:AI27)/SUM(Skills[Intrigue])</f>
        <v>1</v>
      </c>
      <c r="AP27" s="3">
        <f>SUM($AJ$3:AJ27)/SUM(Skills[Learning])</f>
        <v>1</v>
      </c>
      <c r="AQ27" s="3">
        <f>SUM($AK$3:AK27)/SUM(Skills[Prowess])</f>
        <v>1</v>
      </c>
    </row>
    <row r="28" spans="2:43" x14ac:dyDescent="0.25">
      <c r="B28" t="s">
        <v>405</v>
      </c>
      <c r="D28" t="s">
        <v>638</v>
      </c>
      <c r="N28" t="s">
        <v>88</v>
      </c>
      <c r="O28">
        <v>0</v>
      </c>
      <c r="P28" s="4">
        <f>SUM($O$3:O28)/SUM(IntrigueDeaths[Weighting])</f>
        <v>1</v>
      </c>
      <c r="V28" t="s">
        <v>179</v>
      </c>
      <c r="W28">
        <v>1</v>
      </c>
      <c r="X28" s="3">
        <f>SUM($W$3:W28)/SUM(Nicknames[Weighting])</f>
        <v>0.97953216374269003</v>
      </c>
      <c r="AA28" t="s">
        <v>125</v>
      </c>
      <c r="AB28">
        <v>1</v>
      </c>
      <c r="AC28" s="3">
        <f>SUM($AB$3:AB28)/SUM(PersonalityTraits[Weighting])</f>
        <v>0.74285714285714288</v>
      </c>
      <c r="AE28">
        <v>26</v>
      </c>
      <c r="AF28">
        <v>0</v>
      </c>
      <c r="AG28">
        <v>0</v>
      </c>
      <c r="AH28">
        <v>0</v>
      </c>
      <c r="AI28">
        <v>0</v>
      </c>
      <c r="AJ28">
        <v>0</v>
      </c>
      <c r="AK28">
        <v>0</v>
      </c>
      <c r="AL28" s="3">
        <f>SUM($AF$3:AF28)/SUM(Skills[Diplomacy])</f>
        <v>1</v>
      </c>
      <c r="AM28" s="3">
        <f>SUM($AG$3:AG28)/SUM(Skills[Martial])</f>
        <v>1</v>
      </c>
      <c r="AN28" s="3">
        <f>SUM($AH$3:AH28)/SUM(Skills[Stewardship])</f>
        <v>1</v>
      </c>
      <c r="AO28" s="3">
        <f>SUM($AI$3:AI28)/SUM(Skills[Intrigue])</f>
        <v>1</v>
      </c>
      <c r="AP28" s="3">
        <f>SUM($AJ$3:AJ28)/SUM(Skills[Learning])</f>
        <v>1</v>
      </c>
      <c r="AQ28" s="3">
        <f>SUM($AK$3:AK28)/SUM(Skills[Prowess])</f>
        <v>1</v>
      </c>
    </row>
    <row r="29" spans="2:43" x14ac:dyDescent="0.25">
      <c r="B29" t="s">
        <v>406</v>
      </c>
      <c r="D29" t="s">
        <v>639</v>
      </c>
      <c r="V29" t="s">
        <v>180</v>
      </c>
      <c r="W29">
        <v>1</v>
      </c>
      <c r="X29" s="3">
        <f>SUM($W$3:W29)/SUM(Nicknames[Weighting])</f>
        <v>0.97972709551656922</v>
      </c>
      <c r="AA29" t="s">
        <v>126</v>
      </c>
      <c r="AB29">
        <v>1</v>
      </c>
      <c r="AC29" s="3">
        <f>SUM($AB$3:AB29)/SUM(PersonalityTraits[Weighting])</f>
        <v>0.77142857142857146</v>
      </c>
      <c r="AE29">
        <v>27</v>
      </c>
      <c r="AF29">
        <v>0</v>
      </c>
      <c r="AG29">
        <v>0</v>
      </c>
      <c r="AH29">
        <v>0</v>
      </c>
      <c r="AI29">
        <v>0</v>
      </c>
      <c r="AJ29">
        <v>0</v>
      </c>
      <c r="AK29">
        <v>0</v>
      </c>
      <c r="AL29" s="3">
        <f>SUM($AF$3:AF29)/SUM(Skills[Diplomacy])</f>
        <v>1</v>
      </c>
      <c r="AM29" s="3">
        <f>SUM($AG$3:AG29)/SUM(Skills[Martial])</f>
        <v>1</v>
      </c>
      <c r="AN29" s="3">
        <f>SUM($AH$3:AH29)/SUM(Skills[Stewardship])</f>
        <v>1</v>
      </c>
      <c r="AO29" s="3">
        <f>SUM($AI$3:AI29)/SUM(Skills[Intrigue])</f>
        <v>1</v>
      </c>
      <c r="AP29" s="3">
        <f>SUM($AJ$3:AJ29)/SUM(Skills[Learning])</f>
        <v>1</v>
      </c>
      <c r="AQ29" s="3">
        <f>SUM($AK$3:AK29)/SUM(Skills[Prowess])</f>
        <v>1</v>
      </c>
    </row>
    <row r="30" spans="2:43" x14ac:dyDescent="0.25">
      <c r="B30" t="s">
        <v>321</v>
      </c>
      <c r="D30" t="s">
        <v>640</v>
      </c>
      <c r="V30" t="s">
        <v>181</v>
      </c>
      <c r="W30">
        <v>1</v>
      </c>
      <c r="X30" s="3">
        <f>SUM($W$3:W30)/SUM(Nicknames[Weighting])</f>
        <v>0.97992202729044831</v>
      </c>
      <c r="AA30" t="s">
        <v>127</v>
      </c>
      <c r="AB30">
        <v>1</v>
      </c>
      <c r="AC30" s="3">
        <f>SUM($AB$3:AB30)/SUM(PersonalityTraits[Weighting])</f>
        <v>0.8</v>
      </c>
      <c r="AE30">
        <v>28</v>
      </c>
      <c r="AF30">
        <v>0</v>
      </c>
      <c r="AG30">
        <v>0</v>
      </c>
      <c r="AH30">
        <v>0</v>
      </c>
      <c r="AI30">
        <v>0</v>
      </c>
      <c r="AJ30">
        <v>0</v>
      </c>
      <c r="AK30">
        <v>0</v>
      </c>
      <c r="AL30" s="3">
        <f>SUM($AF$3:AF30)/SUM(Skills[Diplomacy])</f>
        <v>1</v>
      </c>
      <c r="AM30" s="3">
        <f>SUM($AG$3:AG30)/SUM(Skills[Martial])</f>
        <v>1</v>
      </c>
      <c r="AN30" s="3">
        <f>SUM($AH$3:AH30)/SUM(Skills[Stewardship])</f>
        <v>1</v>
      </c>
      <c r="AO30" s="3">
        <f>SUM($AI$3:AI30)/SUM(Skills[Intrigue])</f>
        <v>1</v>
      </c>
      <c r="AP30" s="3">
        <f>SUM($AJ$3:AJ30)/SUM(Skills[Learning])</f>
        <v>1</v>
      </c>
      <c r="AQ30" s="3">
        <f>SUM($AK$3:AK30)/SUM(Skills[Prowess])</f>
        <v>1</v>
      </c>
    </row>
    <row r="31" spans="2:43" x14ac:dyDescent="0.25">
      <c r="B31" t="s">
        <v>322</v>
      </c>
      <c r="D31" t="s">
        <v>641</v>
      </c>
      <c r="V31" t="s">
        <v>182</v>
      </c>
      <c r="W31">
        <v>1</v>
      </c>
      <c r="X31" s="3">
        <f>SUM($W$3:W31)/SUM(Nicknames[Weighting])</f>
        <v>0.9801169590643275</v>
      </c>
      <c r="AA31" t="s">
        <v>128</v>
      </c>
      <c r="AB31">
        <v>1</v>
      </c>
      <c r="AC31" s="3">
        <f>SUM($AB$3:AB31)/SUM(PersonalityTraits[Weighting])</f>
        <v>0.82857142857142863</v>
      </c>
      <c r="AE31">
        <v>29</v>
      </c>
      <c r="AF31">
        <v>0</v>
      </c>
      <c r="AG31">
        <v>0</v>
      </c>
      <c r="AH31">
        <v>0</v>
      </c>
      <c r="AI31">
        <v>0</v>
      </c>
      <c r="AJ31">
        <v>0</v>
      </c>
      <c r="AK31">
        <v>0</v>
      </c>
      <c r="AL31" s="3">
        <f>SUM($AF$3:AF31)/SUM(Skills[Diplomacy])</f>
        <v>1</v>
      </c>
      <c r="AM31" s="3">
        <f>SUM($AG$3:AG31)/SUM(Skills[Martial])</f>
        <v>1</v>
      </c>
      <c r="AN31" s="3">
        <f>SUM($AH$3:AH31)/SUM(Skills[Stewardship])</f>
        <v>1</v>
      </c>
      <c r="AO31" s="3">
        <f>SUM($AI$3:AI31)/SUM(Skills[Intrigue])</f>
        <v>1</v>
      </c>
      <c r="AP31" s="3">
        <f>SUM($AJ$3:AJ31)/SUM(Skills[Learning])</f>
        <v>1</v>
      </c>
      <c r="AQ31" s="3">
        <f>SUM($AK$3:AK31)/SUM(Skills[Prowess])</f>
        <v>1</v>
      </c>
    </row>
    <row r="32" spans="2:43" x14ac:dyDescent="0.25">
      <c r="B32" t="s">
        <v>407</v>
      </c>
      <c r="D32" t="s">
        <v>642</v>
      </c>
      <c r="V32" t="s">
        <v>183</v>
      </c>
      <c r="W32">
        <v>1</v>
      </c>
      <c r="X32" s="3">
        <f>SUM($W$3:W32)/SUM(Nicknames[Weighting])</f>
        <v>0.98031189083820658</v>
      </c>
      <c r="AA32" t="s">
        <v>129</v>
      </c>
      <c r="AB32">
        <v>1</v>
      </c>
      <c r="AC32" s="3">
        <f>SUM($AB$3:AB32)/SUM(PersonalityTraits[Weighting])</f>
        <v>0.8571428571428571</v>
      </c>
      <c r="AE32">
        <v>30</v>
      </c>
      <c r="AF32">
        <v>0</v>
      </c>
      <c r="AG32">
        <v>0</v>
      </c>
      <c r="AH32">
        <v>0</v>
      </c>
      <c r="AI32">
        <v>0</v>
      </c>
      <c r="AJ32">
        <v>0</v>
      </c>
      <c r="AK32">
        <v>0</v>
      </c>
      <c r="AL32" s="3">
        <f>SUM($AF$3:AF32)/SUM(Skills[Diplomacy])</f>
        <v>1</v>
      </c>
      <c r="AM32" s="3">
        <f>SUM($AG$3:AG32)/SUM(Skills[Martial])</f>
        <v>1</v>
      </c>
      <c r="AN32" s="3">
        <f>SUM($AH$3:AH32)/SUM(Skills[Stewardship])</f>
        <v>1</v>
      </c>
      <c r="AO32" s="3">
        <f>SUM($AI$3:AI32)/SUM(Skills[Intrigue])</f>
        <v>1</v>
      </c>
      <c r="AP32" s="3">
        <f>SUM($AJ$3:AJ32)/SUM(Skills[Learning])</f>
        <v>1</v>
      </c>
      <c r="AQ32" s="3">
        <f>SUM($AK$3:AK32)/SUM(Skills[Prowess])</f>
        <v>1</v>
      </c>
    </row>
    <row r="33" spans="2:43" x14ac:dyDescent="0.25">
      <c r="B33" t="s">
        <v>408</v>
      </c>
      <c r="D33" t="s">
        <v>643</v>
      </c>
      <c r="V33" t="s">
        <v>184</v>
      </c>
      <c r="W33">
        <v>1</v>
      </c>
      <c r="X33" s="3">
        <f>SUM($W$3:W33)/SUM(Nicknames[Weighting])</f>
        <v>0.98050682261208577</v>
      </c>
      <c r="AA33" t="s">
        <v>130</v>
      </c>
      <c r="AB33">
        <v>1</v>
      </c>
      <c r="AC33" s="3">
        <f>SUM($AB$3:AB33)/SUM(PersonalityTraits[Weighting])</f>
        <v>0.88571428571428568</v>
      </c>
      <c r="AE33">
        <v>31</v>
      </c>
      <c r="AF33">
        <v>0</v>
      </c>
      <c r="AG33">
        <v>0</v>
      </c>
      <c r="AH33">
        <v>0</v>
      </c>
      <c r="AI33">
        <v>0</v>
      </c>
      <c r="AJ33">
        <v>0</v>
      </c>
      <c r="AK33">
        <v>0</v>
      </c>
      <c r="AL33" s="3">
        <f>SUM($AF$3:AF33)/SUM(Skills[Diplomacy])</f>
        <v>1</v>
      </c>
      <c r="AM33" s="3">
        <f>SUM($AG$3:AG33)/SUM(Skills[Martial])</f>
        <v>1</v>
      </c>
      <c r="AN33" s="3">
        <f>SUM($AH$3:AH33)/SUM(Skills[Stewardship])</f>
        <v>1</v>
      </c>
      <c r="AO33" s="3">
        <f>SUM($AI$3:AI33)/SUM(Skills[Intrigue])</f>
        <v>1</v>
      </c>
      <c r="AP33" s="3">
        <f>SUM($AJ$3:AJ33)/SUM(Skills[Learning])</f>
        <v>1</v>
      </c>
      <c r="AQ33" s="3">
        <f>SUM($AK$3:AK33)/SUM(Skills[Prowess])</f>
        <v>1</v>
      </c>
    </row>
    <row r="34" spans="2:43" x14ac:dyDescent="0.25">
      <c r="B34" t="s">
        <v>409</v>
      </c>
      <c r="D34" t="s">
        <v>644</v>
      </c>
      <c r="V34" t="s">
        <v>185</v>
      </c>
      <c r="W34">
        <v>1</v>
      </c>
      <c r="X34" s="3">
        <f>SUM($W$3:W34)/SUM(Nicknames[Weighting])</f>
        <v>0.98070175438596496</v>
      </c>
      <c r="AA34" t="s">
        <v>131</v>
      </c>
      <c r="AB34">
        <v>1</v>
      </c>
      <c r="AC34" s="3">
        <f>SUM($AB$3:AB34)/SUM(PersonalityTraits[Weighting])</f>
        <v>0.91428571428571426</v>
      </c>
      <c r="AE34">
        <v>32</v>
      </c>
      <c r="AF34">
        <v>0</v>
      </c>
      <c r="AG34">
        <v>0</v>
      </c>
      <c r="AH34">
        <v>0</v>
      </c>
      <c r="AI34">
        <v>0</v>
      </c>
      <c r="AJ34">
        <v>0</v>
      </c>
      <c r="AK34">
        <v>0</v>
      </c>
      <c r="AL34" s="3">
        <f>SUM($AF$3:AF34)/SUM(Skills[Diplomacy])</f>
        <v>1</v>
      </c>
      <c r="AM34" s="3">
        <f>SUM($AG$3:AG34)/SUM(Skills[Martial])</f>
        <v>1</v>
      </c>
      <c r="AN34" s="3">
        <f>SUM($AH$3:AH34)/SUM(Skills[Stewardship])</f>
        <v>1</v>
      </c>
      <c r="AO34" s="3">
        <f>SUM($AI$3:AI34)/SUM(Skills[Intrigue])</f>
        <v>1</v>
      </c>
      <c r="AP34" s="3">
        <f>SUM($AJ$3:AJ34)/SUM(Skills[Learning])</f>
        <v>1</v>
      </c>
      <c r="AQ34" s="3">
        <f>SUM($AK$3:AK34)/SUM(Skills[Prowess])</f>
        <v>1</v>
      </c>
    </row>
    <row r="35" spans="2:43" x14ac:dyDescent="0.25">
      <c r="B35" t="s">
        <v>410</v>
      </c>
      <c r="D35" t="s">
        <v>645</v>
      </c>
      <c r="V35" t="s">
        <v>186</v>
      </c>
      <c r="W35">
        <v>1</v>
      </c>
      <c r="X35" s="3">
        <f>SUM($W$3:W35)/SUM(Nicknames[Weighting])</f>
        <v>0.98089668615984404</v>
      </c>
      <c r="AA35" t="s">
        <v>132</v>
      </c>
      <c r="AB35">
        <v>1</v>
      </c>
      <c r="AC35" s="3">
        <f>SUM($AB$3:AB35)/SUM(PersonalityTraits[Weighting])</f>
        <v>0.94285714285714284</v>
      </c>
      <c r="AE35">
        <v>33</v>
      </c>
      <c r="AF35">
        <v>0</v>
      </c>
      <c r="AG35">
        <v>0</v>
      </c>
      <c r="AH35">
        <v>0</v>
      </c>
      <c r="AI35">
        <v>0</v>
      </c>
      <c r="AJ35">
        <v>0</v>
      </c>
      <c r="AK35">
        <v>0</v>
      </c>
      <c r="AL35" s="3">
        <f>SUM($AF$3:AF35)/SUM(Skills[Diplomacy])</f>
        <v>1</v>
      </c>
      <c r="AM35" s="3">
        <f>SUM($AG$3:AG35)/SUM(Skills[Martial])</f>
        <v>1</v>
      </c>
      <c r="AN35" s="3">
        <f>SUM($AH$3:AH35)/SUM(Skills[Stewardship])</f>
        <v>1</v>
      </c>
      <c r="AO35" s="3">
        <f>SUM($AI$3:AI35)/SUM(Skills[Intrigue])</f>
        <v>1</v>
      </c>
      <c r="AP35" s="3">
        <f>SUM($AJ$3:AJ35)/SUM(Skills[Learning])</f>
        <v>1</v>
      </c>
      <c r="AQ35" s="3">
        <f>SUM($AK$3:AK35)/SUM(Skills[Prowess])</f>
        <v>1</v>
      </c>
    </row>
    <row r="36" spans="2:43" x14ac:dyDescent="0.25">
      <c r="B36" t="s">
        <v>411</v>
      </c>
      <c r="D36" t="s">
        <v>646</v>
      </c>
      <c r="V36" t="s">
        <v>187</v>
      </c>
      <c r="W36">
        <v>1</v>
      </c>
      <c r="X36" s="3">
        <f>SUM($W$3:W36)/SUM(Nicknames[Weighting])</f>
        <v>0.98109161793372324</v>
      </c>
      <c r="AA36" t="s">
        <v>133</v>
      </c>
      <c r="AB36">
        <v>1</v>
      </c>
      <c r="AC36" s="3">
        <f>SUM($AB$3:AB36)/SUM(PersonalityTraits[Weighting])</f>
        <v>0.97142857142857142</v>
      </c>
      <c r="AE36">
        <v>34</v>
      </c>
      <c r="AF36">
        <v>0</v>
      </c>
      <c r="AG36">
        <v>0</v>
      </c>
      <c r="AH36">
        <v>0</v>
      </c>
      <c r="AI36">
        <v>0</v>
      </c>
      <c r="AJ36">
        <v>0</v>
      </c>
      <c r="AK36">
        <v>0</v>
      </c>
      <c r="AL36" s="3">
        <f>SUM($AF$3:AF36)/SUM(Skills[Diplomacy])</f>
        <v>1</v>
      </c>
      <c r="AM36" s="3">
        <f>SUM($AG$3:AG36)/SUM(Skills[Martial])</f>
        <v>1</v>
      </c>
      <c r="AN36" s="3">
        <f>SUM($AH$3:AH36)/SUM(Skills[Stewardship])</f>
        <v>1</v>
      </c>
      <c r="AO36" s="3">
        <f>SUM($AI$3:AI36)/SUM(Skills[Intrigue])</f>
        <v>1</v>
      </c>
      <c r="AP36" s="3">
        <f>SUM($AJ$3:AJ36)/SUM(Skills[Learning])</f>
        <v>1</v>
      </c>
      <c r="AQ36" s="3">
        <f>SUM($AK$3:AK36)/SUM(Skills[Prowess])</f>
        <v>1</v>
      </c>
    </row>
    <row r="37" spans="2:43" x14ac:dyDescent="0.25">
      <c r="B37" t="s">
        <v>412</v>
      </c>
      <c r="D37" t="s">
        <v>647</v>
      </c>
      <c r="V37" t="s">
        <v>188</v>
      </c>
      <c r="W37">
        <v>1</v>
      </c>
      <c r="X37" s="3">
        <f>SUM($W$3:W37)/SUM(Nicknames[Weighting])</f>
        <v>0.98128654970760232</v>
      </c>
      <c r="AA37" t="s">
        <v>134</v>
      </c>
      <c r="AB37">
        <v>1</v>
      </c>
      <c r="AC37" s="3">
        <f>SUM($AB$3:AB37)/SUM(PersonalityTraits[Weighting])</f>
        <v>1</v>
      </c>
      <c r="AE37">
        <v>35</v>
      </c>
      <c r="AF37">
        <v>0</v>
      </c>
      <c r="AG37">
        <v>0</v>
      </c>
      <c r="AH37">
        <v>0</v>
      </c>
      <c r="AI37">
        <v>0</v>
      </c>
      <c r="AJ37">
        <v>0</v>
      </c>
      <c r="AK37">
        <v>0</v>
      </c>
      <c r="AL37" s="3">
        <f>SUM($AF$3:AF37)/SUM(Skills[Diplomacy])</f>
        <v>1</v>
      </c>
      <c r="AM37" s="3">
        <f>SUM($AG$3:AG37)/SUM(Skills[Martial])</f>
        <v>1</v>
      </c>
      <c r="AN37" s="3">
        <f>SUM($AH$3:AH37)/SUM(Skills[Stewardship])</f>
        <v>1</v>
      </c>
      <c r="AO37" s="3">
        <f>SUM($AI$3:AI37)/SUM(Skills[Intrigue])</f>
        <v>1</v>
      </c>
      <c r="AP37" s="3">
        <f>SUM($AJ$3:AJ37)/SUM(Skills[Learning])</f>
        <v>1</v>
      </c>
      <c r="AQ37" s="3">
        <f>SUM($AK$3:AK37)/SUM(Skills[Prowess])</f>
        <v>1</v>
      </c>
    </row>
    <row r="38" spans="2:43" x14ac:dyDescent="0.25">
      <c r="B38" t="s">
        <v>413</v>
      </c>
      <c r="D38" t="s">
        <v>648</v>
      </c>
      <c r="V38" t="s">
        <v>189</v>
      </c>
      <c r="W38">
        <v>1</v>
      </c>
      <c r="X38" s="3">
        <f>SUM($W$3:W38)/SUM(Nicknames[Weighting])</f>
        <v>0.98148148148148151</v>
      </c>
      <c r="AE38">
        <v>36</v>
      </c>
      <c r="AF38">
        <v>0</v>
      </c>
      <c r="AG38">
        <v>0</v>
      </c>
      <c r="AH38">
        <v>0</v>
      </c>
      <c r="AI38">
        <v>0</v>
      </c>
      <c r="AJ38">
        <v>0</v>
      </c>
      <c r="AK38">
        <v>0</v>
      </c>
      <c r="AL38" s="3">
        <f>SUM($AF$3:AF38)/SUM(Skills[Diplomacy])</f>
        <v>1</v>
      </c>
      <c r="AM38" s="3">
        <f>SUM($AG$3:AG38)/SUM(Skills[Martial])</f>
        <v>1</v>
      </c>
      <c r="AN38" s="3">
        <f>SUM($AH$3:AH38)/SUM(Skills[Stewardship])</f>
        <v>1</v>
      </c>
      <c r="AO38" s="3">
        <f>SUM($AI$3:AI38)/SUM(Skills[Intrigue])</f>
        <v>1</v>
      </c>
      <c r="AP38" s="3">
        <f>SUM($AJ$3:AJ38)/SUM(Skills[Learning])</f>
        <v>1</v>
      </c>
      <c r="AQ38" s="3">
        <f>SUM($AK$3:AK38)/SUM(Skills[Prowess])</f>
        <v>1</v>
      </c>
    </row>
    <row r="39" spans="2:43" x14ac:dyDescent="0.25">
      <c r="B39" t="s">
        <v>378</v>
      </c>
      <c r="D39" t="s">
        <v>649</v>
      </c>
      <c r="V39" t="s">
        <v>190</v>
      </c>
      <c r="W39">
        <v>1</v>
      </c>
      <c r="X39" s="3">
        <f>SUM($W$3:W39)/SUM(Nicknames[Weighting])</f>
        <v>0.98167641325536059</v>
      </c>
      <c r="AE39">
        <v>37</v>
      </c>
      <c r="AF39">
        <v>0</v>
      </c>
      <c r="AG39">
        <v>0</v>
      </c>
      <c r="AH39">
        <v>0</v>
      </c>
      <c r="AI39">
        <v>0</v>
      </c>
      <c r="AJ39">
        <v>0</v>
      </c>
      <c r="AK39">
        <v>0</v>
      </c>
      <c r="AL39" s="3">
        <f>SUM($AF$3:AF39)/SUM(Skills[Diplomacy])</f>
        <v>1</v>
      </c>
      <c r="AM39" s="3">
        <f>SUM($AG$3:AG39)/SUM(Skills[Martial])</f>
        <v>1</v>
      </c>
      <c r="AN39" s="3">
        <f>SUM($AH$3:AH39)/SUM(Skills[Stewardship])</f>
        <v>1</v>
      </c>
      <c r="AO39" s="3">
        <f>SUM($AI$3:AI39)/SUM(Skills[Intrigue])</f>
        <v>1</v>
      </c>
      <c r="AP39" s="3">
        <f>SUM($AJ$3:AJ39)/SUM(Skills[Learning])</f>
        <v>1</v>
      </c>
      <c r="AQ39" s="3">
        <f>SUM($AK$3:AK39)/SUM(Skills[Prowess])</f>
        <v>1</v>
      </c>
    </row>
    <row r="40" spans="2:43" x14ac:dyDescent="0.25">
      <c r="B40" t="s">
        <v>414</v>
      </c>
      <c r="D40" t="s">
        <v>650</v>
      </c>
      <c r="V40" t="s">
        <v>191</v>
      </c>
      <c r="W40">
        <v>1</v>
      </c>
      <c r="X40" s="3">
        <f>SUM($W$3:W40)/SUM(Nicknames[Weighting])</f>
        <v>0.98187134502923978</v>
      </c>
      <c r="AE40">
        <v>38</v>
      </c>
      <c r="AF40">
        <v>0</v>
      </c>
      <c r="AG40">
        <v>0</v>
      </c>
      <c r="AH40">
        <v>0</v>
      </c>
      <c r="AI40">
        <v>0</v>
      </c>
      <c r="AJ40">
        <v>0</v>
      </c>
      <c r="AK40">
        <v>0</v>
      </c>
      <c r="AL40" s="3">
        <f>SUM($AF$3:AF40)/SUM(Skills[Diplomacy])</f>
        <v>1</v>
      </c>
      <c r="AM40" s="3">
        <f>SUM($AG$3:AG40)/SUM(Skills[Martial])</f>
        <v>1</v>
      </c>
      <c r="AN40" s="3">
        <f>SUM($AH$3:AH40)/SUM(Skills[Stewardship])</f>
        <v>1</v>
      </c>
      <c r="AO40" s="3">
        <f>SUM($AI$3:AI40)/SUM(Skills[Intrigue])</f>
        <v>1</v>
      </c>
      <c r="AP40" s="3">
        <f>SUM($AJ$3:AJ40)/SUM(Skills[Learning])</f>
        <v>1</v>
      </c>
      <c r="AQ40" s="3">
        <f>SUM($AK$3:AK40)/SUM(Skills[Prowess])</f>
        <v>1</v>
      </c>
    </row>
    <row r="41" spans="2:43" x14ac:dyDescent="0.25">
      <c r="B41" t="s">
        <v>415</v>
      </c>
      <c r="D41" t="s">
        <v>327</v>
      </c>
      <c r="V41" t="s">
        <v>192</v>
      </c>
      <c r="W41">
        <v>1</v>
      </c>
      <c r="X41" s="3">
        <f>SUM($W$3:W41)/SUM(Nicknames[Weighting])</f>
        <v>0.98206627680311886</v>
      </c>
      <c r="AE41">
        <v>39</v>
      </c>
      <c r="AF41">
        <v>0</v>
      </c>
      <c r="AG41">
        <v>0</v>
      </c>
      <c r="AH41">
        <v>0</v>
      </c>
      <c r="AI41">
        <v>0</v>
      </c>
      <c r="AJ41">
        <v>0</v>
      </c>
      <c r="AK41">
        <v>0</v>
      </c>
      <c r="AL41" s="3">
        <f>SUM($AF$3:AF41)/SUM(Skills[Diplomacy])</f>
        <v>1</v>
      </c>
      <c r="AM41" s="3">
        <f>SUM($AG$3:AG41)/SUM(Skills[Martial])</f>
        <v>1</v>
      </c>
      <c r="AN41" s="3">
        <f>SUM($AH$3:AH41)/SUM(Skills[Stewardship])</f>
        <v>1</v>
      </c>
      <c r="AO41" s="3">
        <f>SUM($AI$3:AI41)/SUM(Skills[Intrigue])</f>
        <v>1</v>
      </c>
      <c r="AP41" s="3">
        <f>SUM($AJ$3:AJ41)/SUM(Skills[Learning])</f>
        <v>1</v>
      </c>
      <c r="AQ41" s="3">
        <f>SUM($AK$3:AK41)/SUM(Skills[Prowess])</f>
        <v>1</v>
      </c>
    </row>
    <row r="42" spans="2:43" x14ac:dyDescent="0.25">
      <c r="B42" t="s">
        <v>416</v>
      </c>
      <c r="D42" t="s">
        <v>651</v>
      </c>
      <c r="V42" t="s">
        <v>193</v>
      </c>
      <c r="W42">
        <v>1</v>
      </c>
      <c r="X42" s="3">
        <f>SUM($W$3:W42)/SUM(Nicknames[Weighting])</f>
        <v>0.98226120857699806</v>
      </c>
      <c r="AE42">
        <v>40</v>
      </c>
      <c r="AF42">
        <v>0</v>
      </c>
      <c r="AG42">
        <v>0</v>
      </c>
      <c r="AH42">
        <v>0</v>
      </c>
      <c r="AI42">
        <v>0</v>
      </c>
      <c r="AJ42">
        <v>0</v>
      </c>
      <c r="AK42">
        <v>0</v>
      </c>
      <c r="AL42" s="3">
        <f>SUM($AF$3:AF42)/SUM(Skills[Diplomacy])</f>
        <v>1</v>
      </c>
      <c r="AM42" s="3">
        <f>SUM($AG$3:AG42)/SUM(Skills[Martial])</f>
        <v>1</v>
      </c>
      <c r="AN42" s="3">
        <f>SUM($AH$3:AH42)/SUM(Skills[Stewardship])</f>
        <v>1</v>
      </c>
      <c r="AO42" s="3">
        <f>SUM($AI$3:AI42)/SUM(Skills[Intrigue])</f>
        <v>1</v>
      </c>
      <c r="AP42" s="3">
        <f>SUM($AJ$3:AJ42)/SUM(Skills[Learning])</f>
        <v>1</v>
      </c>
      <c r="AQ42" s="3">
        <f>SUM($AK$3:AK42)/SUM(Skills[Prowess])</f>
        <v>1</v>
      </c>
    </row>
    <row r="43" spans="2:43" x14ac:dyDescent="0.25">
      <c r="B43" t="s">
        <v>323</v>
      </c>
      <c r="D43" t="s">
        <v>652</v>
      </c>
      <c r="V43" t="s">
        <v>194</v>
      </c>
      <c r="W43">
        <v>1</v>
      </c>
      <c r="X43" s="3">
        <f>SUM($W$3:W43)/SUM(Nicknames[Weighting])</f>
        <v>0.98245614035087714</v>
      </c>
      <c r="AE43">
        <v>41</v>
      </c>
      <c r="AF43">
        <v>0</v>
      </c>
      <c r="AG43">
        <v>0</v>
      </c>
      <c r="AH43">
        <v>0</v>
      </c>
      <c r="AI43">
        <v>0</v>
      </c>
      <c r="AJ43">
        <v>0</v>
      </c>
      <c r="AK43">
        <v>0</v>
      </c>
      <c r="AL43" s="3">
        <f>SUM($AF$3:AF43)/SUM(Skills[Diplomacy])</f>
        <v>1</v>
      </c>
      <c r="AM43" s="3">
        <f>SUM($AG$3:AG43)/SUM(Skills[Martial])</f>
        <v>1</v>
      </c>
      <c r="AN43" s="3">
        <f>SUM($AH$3:AH43)/SUM(Skills[Stewardship])</f>
        <v>1</v>
      </c>
      <c r="AO43" s="3">
        <f>SUM($AI$3:AI43)/SUM(Skills[Intrigue])</f>
        <v>1</v>
      </c>
      <c r="AP43" s="3">
        <f>SUM($AJ$3:AJ43)/SUM(Skills[Learning])</f>
        <v>1</v>
      </c>
      <c r="AQ43" s="3">
        <f>SUM($AK$3:AK43)/SUM(Skills[Prowess])</f>
        <v>1</v>
      </c>
    </row>
    <row r="44" spans="2:43" x14ac:dyDescent="0.25">
      <c r="B44" t="s">
        <v>417</v>
      </c>
      <c r="D44" t="s">
        <v>653</v>
      </c>
      <c r="V44" t="s">
        <v>195</v>
      </c>
      <c r="W44">
        <v>1</v>
      </c>
      <c r="X44" s="3">
        <f>SUM($W$3:W44)/SUM(Nicknames[Weighting])</f>
        <v>0.98265107212475633</v>
      </c>
      <c r="AE44">
        <v>42</v>
      </c>
      <c r="AF44">
        <v>0</v>
      </c>
      <c r="AG44">
        <v>0</v>
      </c>
      <c r="AH44">
        <v>0</v>
      </c>
      <c r="AI44">
        <v>0</v>
      </c>
      <c r="AJ44">
        <v>0</v>
      </c>
      <c r="AK44">
        <v>0</v>
      </c>
      <c r="AL44" s="3">
        <f>SUM($AF$3:AF44)/SUM(Skills[Diplomacy])</f>
        <v>1</v>
      </c>
      <c r="AM44" s="3">
        <f>SUM($AG$3:AG44)/SUM(Skills[Martial])</f>
        <v>1</v>
      </c>
      <c r="AN44" s="3">
        <f>SUM($AH$3:AH44)/SUM(Skills[Stewardship])</f>
        <v>1</v>
      </c>
      <c r="AO44" s="3">
        <f>SUM($AI$3:AI44)/SUM(Skills[Intrigue])</f>
        <v>1</v>
      </c>
      <c r="AP44" s="3">
        <f>SUM($AJ$3:AJ44)/SUM(Skills[Learning])</f>
        <v>1</v>
      </c>
      <c r="AQ44" s="3">
        <f>SUM($AK$3:AK44)/SUM(Skills[Prowess])</f>
        <v>1</v>
      </c>
    </row>
    <row r="45" spans="2:43" x14ac:dyDescent="0.25">
      <c r="B45" t="s">
        <v>324</v>
      </c>
      <c r="D45" t="s">
        <v>654</v>
      </c>
      <c r="V45" t="s">
        <v>196</v>
      </c>
      <c r="W45">
        <v>1</v>
      </c>
      <c r="X45" s="3">
        <f>SUM($W$3:W45)/SUM(Nicknames[Weighting])</f>
        <v>0.98284600389863552</v>
      </c>
      <c r="AE45">
        <v>43</v>
      </c>
      <c r="AF45">
        <v>0</v>
      </c>
      <c r="AG45">
        <v>0</v>
      </c>
      <c r="AH45">
        <v>0</v>
      </c>
      <c r="AI45">
        <v>0</v>
      </c>
      <c r="AJ45">
        <v>0</v>
      </c>
      <c r="AK45">
        <v>0</v>
      </c>
      <c r="AL45" s="3">
        <f>SUM($AF$3:AF45)/SUM(Skills[Diplomacy])</f>
        <v>1</v>
      </c>
      <c r="AM45" s="3">
        <f>SUM($AG$3:AG45)/SUM(Skills[Martial])</f>
        <v>1</v>
      </c>
      <c r="AN45" s="3">
        <f>SUM($AH$3:AH45)/SUM(Skills[Stewardship])</f>
        <v>1</v>
      </c>
      <c r="AO45" s="3">
        <f>SUM($AI$3:AI45)/SUM(Skills[Intrigue])</f>
        <v>1</v>
      </c>
      <c r="AP45" s="3">
        <f>SUM($AJ$3:AJ45)/SUM(Skills[Learning])</f>
        <v>1</v>
      </c>
      <c r="AQ45" s="3">
        <f>SUM($AK$3:AK45)/SUM(Skills[Prowess])</f>
        <v>1</v>
      </c>
    </row>
    <row r="46" spans="2:43" x14ac:dyDescent="0.25">
      <c r="B46" t="s">
        <v>418</v>
      </c>
      <c r="D46" t="s">
        <v>655</v>
      </c>
      <c r="V46" t="s">
        <v>197</v>
      </c>
      <c r="W46">
        <v>1</v>
      </c>
      <c r="X46" s="3">
        <f>SUM($W$3:W46)/SUM(Nicknames[Weighting])</f>
        <v>0.9830409356725146</v>
      </c>
      <c r="AE46">
        <v>44</v>
      </c>
      <c r="AF46">
        <v>0</v>
      </c>
      <c r="AG46">
        <v>0</v>
      </c>
      <c r="AH46">
        <v>0</v>
      </c>
      <c r="AI46">
        <v>0</v>
      </c>
      <c r="AJ46">
        <v>0</v>
      </c>
      <c r="AK46">
        <v>0</v>
      </c>
      <c r="AL46" s="3">
        <f>SUM($AF$3:AF46)/SUM(Skills[Diplomacy])</f>
        <v>1</v>
      </c>
      <c r="AM46" s="3">
        <f>SUM($AG$3:AG46)/SUM(Skills[Martial])</f>
        <v>1</v>
      </c>
      <c r="AN46" s="3">
        <f>SUM($AH$3:AH46)/SUM(Skills[Stewardship])</f>
        <v>1</v>
      </c>
      <c r="AO46" s="3">
        <f>SUM($AI$3:AI46)/SUM(Skills[Intrigue])</f>
        <v>1</v>
      </c>
      <c r="AP46" s="3">
        <f>SUM($AJ$3:AJ46)/SUM(Skills[Learning])</f>
        <v>1</v>
      </c>
      <c r="AQ46" s="3">
        <f>SUM($AK$3:AK46)/SUM(Skills[Prowess])</f>
        <v>1</v>
      </c>
    </row>
    <row r="47" spans="2:43" x14ac:dyDescent="0.25">
      <c r="B47" t="s">
        <v>419</v>
      </c>
      <c r="D47" t="s">
        <v>656</v>
      </c>
      <c r="V47" t="s">
        <v>198</v>
      </c>
      <c r="W47">
        <v>1</v>
      </c>
      <c r="X47" s="3">
        <f>SUM($W$3:W47)/SUM(Nicknames[Weighting])</f>
        <v>0.9832358674463938</v>
      </c>
      <c r="AE47">
        <v>45</v>
      </c>
      <c r="AF47">
        <v>0</v>
      </c>
      <c r="AG47">
        <v>0</v>
      </c>
      <c r="AH47">
        <v>0</v>
      </c>
      <c r="AI47">
        <v>0</v>
      </c>
      <c r="AJ47">
        <v>0</v>
      </c>
      <c r="AK47">
        <v>0</v>
      </c>
      <c r="AL47" s="3">
        <f>SUM($AF$3:AF47)/SUM(Skills[Diplomacy])</f>
        <v>1</v>
      </c>
      <c r="AM47" s="3">
        <f>SUM($AG$3:AG47)/SUM(Skills[Martial])</f>
        <v>1</v>
      </c>
      <c r="AN47" s="3">
        <f>SUM($AH$3:AH47)/SUM(Skills[Stewardship])</f>
        <v>1</v>
      </c>
      <c r="AO47" s="3">
        <f>SUM($AI$3:AI47)/SUM(Skills[Intrigue])</f>
        <v>1</v>
      </c>
      <c r="AP47" s="3">
        <f>SUM($AJ$3:AJ47)/SUM(Skills[Learning])</f>
        <v>1</v>
      </c>
      <c r="AQ47" s="3">
        <f>SUM($AK$3:AK47)/SUM(Skills[Prowess])</f>
        <v>1</v>
      </c>
    </row>
    <row r="48" spans="2:43" x14ac:dyDescent="0.25">
      <c r="B48" t="s">
        <v>420</v>
      </c>
      <c r="D48" t="s">
        <v>657</v>
      </c>
      <c r="V48" t="s">
        <v>199</v>
      </c>
      <c r="W48">
        <v>1</v>
      </c>
      <c r="X48" s="3">
        <f>SUM($W$3:W48)/SUM(Nicknames[Weighting])</f>
        <v>0.98343079922027288</v>
      </c>
      <c r="AE48">
        <v>46</v>
      </c>
      <c r="AF48">
        <v>0</v>
      </c>
      <c r="AG48">
        <v>0</v>
      </c>
      <c r="AH48">
        <v>0</v>
      </c>
      <c r="AI48">
        <v>0</v>
      </c>
      <c r="AJ48">
        <v>0</v>
      </c>
      <c r="AK48">
        <v>0</v>
      </c>
      <c r="AL48" s="3">
        <f>SUM($AF$3:AF48)/SUM(Skills[Diplomacy])</f>
        <v>1</v>
      </c>
      <c r="AM48" s="3">
        <f>SUM($AG$3:AG48)/SUM(Skills[Martial])</f>
        <v>1</v>
      </c>
      <c r="AN48" s="3">
        <f>SUM($AH$3:AH48)/SUM(Skills[Stewardship])</f>
        <v>1</v>
      </c>
      <c r="AO48" s="3">
        <f>SUM($AI$3:AI48)/SUM(Skills[Intrigue])</f>
        <v>1</v>
      </c>
      <c r="AP48" s="3">
        <f>SUM($AJ$3:AJ48)/SUM(Skills[Learning])</f>
        <v>1</v>
      </c>
      <c r="AQ48" s="3">
        <f>SUM($AK$3:AK48)/SUM(Skills[Prowess])</f>
        <v>1</v>
      </c>
    </row>
    <row r="49" spans="2:43" x14ac:dyDescent="0.25">
      <c r="B49" t="s">
        <v>421</v>
      </c>
      <c r="D49" t="s">
        <v>355</v>
      </c>
      <c r="V49" t="s">
        <v>200</v>
      </c>
      <c r="W49">
        <v>1</v>
      </c>
      <c r="X49" s="3">
        <f>SUM($W$3:W49)/SUM(Nicknames[Weighting])</f>
        <v>0.98362573099415207</v>
      </c>
      <c r="AE49">
        <v>47</v>
      </c>
      <c r="AF49">
        <v>0</v>
      </c>
      <c r="AG49">
        <v>0</v>
      </c>
      <c r="AH49">
        <v>0</v>
      </c>
      <c r="AI49">
        <v>0</v>
      </c>
      <c r="AJ49">
        <v>0</v>
      </c>
      <c r="AK49">
        <v>0</v>
      </c>
      <c r="AL49" s="3">
        <f>SUM($AF$3:AF49)/SUM(Skills[Diplomacy])</f>
        <v>1</v>
      </c>
      <c r="AM49" s="3">
        <f>SUM($AG$3:AG49)/SUM(Skills[Martial])</f>
        <v>1</v>
      </c>
      <c r="AN49" s="3">
        <f>SUM($AH$3:AH49)/SUM(Skills[Stewardship])</f>
        <v>1</v>
      </c>
      <c r="AO49" s="3">
        <f>SUM($AI$3:AI49)/SUM(Skills[Intrigue])</f>
        <v>1</v>
      </c>
      <c r="AP49" s="3">
        <f>SUM($AJ$3:AJ49)/SUM(Skills[Learning])</f>
        <v>1</v>
      </c>
      <c r="AQ49" s="3">
        <f>SUM($AK$3:AK49)/SUM(Skills[Prowess])</f>
        <v>1</v>
      </c>
    </row>
    <row r="50" spans="2:43" x14ac:dyDescent="0.25">
      <c r="B50" t="s">
        <v>325</v>
      </c>
      <c r="D50" t="s">
        <v>658</v>
      </c>
      <c r="V50" t="s">
        <v>201</v>
      </c>
      <c r="W50">
        <v>1</v>
      </c>
      <c r="X50" s="3">
        <f>SUM($W$3:W50)/SUM(Nicknames[Weighting])</f>
        <v>0.98382066276803115</v>
      </c>
      <c r="AE50">
        <v>48</v>
      </c>
      <c r="AF50">
        <v>0</v>
      </c>
      <c r="AG50">
        <v>0</v>
      </c>
      <c r="AH50">
        <v>0</v>
      </c>
      <c r="AI50">
        <v>0</v>
      </c>
      <c r="AJ50">
        <v>0</v>
      </c>
      <c r="AK50">
        <v>0</v>
      </c>
      <c r="AL50" s="3">
        <f>SUM($AF$3:AF50)/SUM(Skills[Diplomacy])</f>
        <v>1</v>
      </c>
      <c r="AM50" s="3">
        <f>SUM($AG$3:AG50)/SUM(Skills[Martial])</f>
        <v>1</v>
      </c>
      <c r="AN50" s="3">
        <f>SUM($AH$3:AH50)/SUM(Skills[Stewardship])</f>
        <v>1</v>
      </c>
      <c r="AO50" s="3">
        <f>SUM($AI$3:AI50)/SUM(Skills[Intrigue])</f>
        <v>1</v>
      </c>
      <c r="AP50" s="3">
        <f>SUM($AJ$3:AJ50)/SUM(Skills[Learning])</f>
        <v>1</v>
      </c>
      <c r="AQ50" s="3">
        <f>SUM($AK$3:AK50)/SUM(Skills[Prowess])</f>
        <v>1</v>
      </c>
    </row>
    <row r="51" spans="2:43" x14ac:dyDescent="0.25">
      <c r="B51" t="s">
        <v>422</v>
      </c>
      <c r="D51" t="s">
        <v>659</v>
      </c>
      <c r="V51" t="s">
        <v>202</v>
      </c>
      <c r="W51">
        <v>1</v>
      </c>
      <c r="X51" s="3">
        <f>SUM($W$3:W51)/SUM(Nicknames[Weighting])</f>
        <v>0.98401559454191034</v>
      </c>
      <c r="AE51">
        <v>49</v>
      </c>
      <c r="AF51">
        <v>0</v>
      </c>
      <c r="AG51">
        <v>0</v>
      </c>
      <c r="AH51">
        <v>0</v>
      </c>
      <c r="AI51">
        <v>0</v>
      </c>
      <c r="AJ51">
        <v>0</v>
      </c>
      <c r="AK51">
        <v>0</v>
      </c>
      <c r="AL51" s="3">
        <f>SUM($AF$3:AF51)/SUM(Skills[Diplomacy])</f>
        <v>1</v>
      </c>
      <c r="AM51" s="3">
        <f>SUM($AG$3:AG51)/SUM(Skills[Martial])</f>
        <v>1</v>
      </c>
      <c r="AN51" s="3">
        <f>SUM($AH$3:AH51)/SUM(Skills[Stewardship])</f>
        <v>1</v>
      </c>
      <c r="AO51" s="3">
        <f>SUM($AI$3:AI51)/SUM(Skills[Intrigue])</f>
        <v>1</v>
      </c>
      <c r="AP51" s="3">
        <f>SUM($AJ$3:AJ51)/SUM(Skills[Learning])</f>
        <v>1</v>
      </c>
      <c r="AQ51" s="3">
        <f>SUM($AK$3:AK51)/SUM(Skills[Prowess])</f>
        <v>1</v>
      </c>
    </row>
    <row r="52" spans="2:43" x14ac:dyDescent="0.25">
      <c r="B52" t="s">
        <v>423</v>
      </c>
      <c r="D52" t="s">
        <v>376</v>
      </c>
      <c r="V52" t="s">
        <v>203</v>
      </c>
      <c r="W52">
        <v>1</v>
      </c>
      <c r="X52" s="3">
        <f>SUM($W$3:W52)/SUM(Nicknames[Weighting])</f>
        <v>0.98421052631578942</v>
      </c>
      <c r="AE52">
        <v>50</v>
      </c>
      <c r="AF52">
        <v>0</v>
      </c>
      <c r="AG52">
        <v>0</v>
      </c>
      <c r="AH52">
        <v>0</v>
      </c>
      <c r="AI52">
        <v>0</v>
      </c>
      <c r="AJ52">
        <v>0</v>
      </c>
      <c r="AK52">
        <v>0</v>
      </c>
      <c r="AL52" s="3">
        <f>SUM($AF$3:AF52)/SUM(Skills[Diplomacy])</f>
        <v>1</v>
      </c>
      <c r="AM52" s="3">
        <f>SUM($AG$3:AG52)/SUM(Skills[Martial])</f>
        <v>1</v>
      </c>
      <c r="AN52" s="3">
        <f>SUM($AH$3:AH52)/SUM(Skills[Stewardship])</f>
        <v>1</v>
      </c>
      <c r="AO52" s="3">
        <f>SUM($AI$3:AI52)/SUM(Skills[Intrigue])</f>
        <v>1</v>
      </c>
      <c r="AP52" s="3">
        <f>SUM($AJ$3:AJ52)/SUM(Skills[Learning])</f>
        <v>1</v>
      </c>
      <c r="AQ52" s="3">
        <f>SUM($AK$3:AK52)/SUM(Skills[Prowess])</f>
        <v>1</v>
      </c>
    </row>
    <row r="53" spans="2:43" x14ac:dyDescent="0.25">
      <c r="B53" t="s">
        <v>372</v>
      </c>
      <c r="D53" t="s">
        <v>660</v>
      </c>
      <c r="V53" t="s">
        <v>204</v>
      </c>
      <c r="W53">
        <v>1</v>
      </c>
      <c r="X53" s="3">
        <f>SUM($W$3:W53)/SUM(Nicknames[Weighting])</f>
        <v>0.98440545808966862</v>
      </c>
    </row>
    <row r="54" spans="2:43" x14ac:dyDescent="0.25">
      <c r="B54" t="s">
        <v>326</v>
      </c>
      <c r="D54" t="s">
        <v>661</v>
      </c>
      <c r="V54" t="s">
        <v>205</v>
      </c>
      <c r="W54">
        <v>1</v>
      </c>
      <c r="X54" s="3">
        <f>SUM($W$3:W54)/SUM(Nicknames[Weighting])</f>
        <v>0.98460038986354781</v>
      </c>
    </row>
    <row r="55" spans="2:43" x14ac:dyDescent="0.25">
      <c r="B55" t="s">
        <v>424</v>
      </c>
      <c r="D55" t="s">
        <v>662</v>
      </c>
      <c r="V55" t="s">
        <v>206</v>
      </c>
      <c r="W55">
        <v>1</v>
      </c>
      <c r="X55" s="3">
        <f>SUM($W$3:W55)/SUM(Nicknames[Weighting])</f>
        <v>0.98479532163742689</v>
      </c>
    </row>
    <row r="56" spans="2:43" x14ac:dyDescent="0.25">
      <c r="B56" t="s">
        <v>425</v>
      </c>
      <c r="D56" t="s">
        <v>663</v>
      </c>
      <c r="V56" t="s">
        <v>207</v>
      </c>
      <c r="W56">
        <v>1</v>
      </c>
      <c r="X56" s="3">
        <f>SUM($W$3:W56)/SUM(Nicknames[Weighting])</f>
        <v>0.98499025341130608</v>
      </c>
    </row>
    <row r="57" spans="2:43" x14ac:dyDescent="0.25">
      <c r="B57" t="s">
        <v>426</v>
      </c>
      <c r="D57" t="s">
        <v>664</v>
      </c>
      <c r="V57" t="s">
        <v>208</v>
      </c>
      <c r="W57">
        <v>1</v>
      </c>
      <c r="X57" s="3">
        <f>SUM($W$3:W57)/SUM(Nicknames[Weighting])</f>
        <v>0.98518518518518516</v>
      </c>
    </row>
    <row r="58" spans="2:43" x14ac:dyDescent="0.25">
      <c r="B58" t="s">
        <v>327</v>
      </c>
      <c r="D58" t="s">
        <v>370</v>
      </c>
      <c r="V58" t="s">
        <v>209</v>
      </c>
      <c r="W58">
        <v>1</v>
      </c>
      <c r="X58" s="3">
        <f>SUM($W$3:W58)/SUM(Nicknames[Weighting])</f>
        <v>0.98538011695906436</v>
      </c>
    </row>
    <row r="59" spans="2:43" x14ac:dyDescent="0.25">
      <c r="B59" t="s">
        <v>427</v>
      </c>
      <c r="D59" t="s">
        <v>665</v>
      </c>
      <c r="V59" t="s">
        <v>210</v>
      </c>
      <c r="W59">
        <v>1</v>
      </c>
      <c r="X59" s="3">
        <f>SUM($W$3:W59)/SUM(Nicknames[Weighting])</f>
        <v>0.98557504873294344</v>
      </c>
    </row>
    <row r="60" spans="2:43" x14ac:dyDescent="0.25">
      <c r="B60" t="s">
        <v>428</v>
      </c>
      <c r="D60" t="s">
        <v>666</v>
      </c>
      <c r="V60" t="s">
        <v>211</v>
      </c>
      <c r="W60">
        <v>1</v>
      </c>
      <c r="X60" s="3">
        <f>SUM($W$3:W60)/SUM(Nicknames[Weighting])</f>
        <v>0.98576998050682263</v>
      </c>
    </row>
    <row r="61" spans="2:43" x14ac:dyDescent="0.25">
      <c r="B61" t="s">
        <v>429</v>
      </c>
      <c r="D61" t="s">
        <v>667</v>
      </c>
      <c r="V61" t="s">
        <v>212</v>
      </c>
      <c r="W61">
        <v>1</v>
      </c>
      <c r="X61" s="3">
        <f>SUM($W$3:W61)/SUM(Nicknames[Weighting])</f>
        <v>0.98596491228070171</v>
      </c>
    </row>
    <row r="62" spans="2:43" x14ac:dyDescent="0.25">
      <c r="B62" t="s">
        <v>430</v>
      </c>
      <c r="D62" t="s">
        <v>668</v>
      </c>
      <c r="V62" t="s">
        <v>213</v>
      </c>
      <c r="W62">
        <v>1</v>
      </c>
      <c r="X62" s="3">
        <f>SUM($W$3:W62)/SUM(Nicknames[Weighting])</f>
        <v>0.9861598440545809</v>
      </c>
    </row>
    <row r="63" spans="2:43" x14ac:dyDescent="0.25">
      <c r="B63" t="s">
        <v>431</v>
      </c>
      <c r="D63" t="s">
        <v>669</v>
      </c>
      <c r="V63" t="s">
        <v>214</v>
      </c>
      <c r="W63">
        <v>1</v>
      </c>
      <c r="X63" s="3">
        <f>SUM($W$3:W63)/SUM(Nicknames[Weighting])</f>
        <v>0.98635477582845998</v>
      </c>
    </row>
    <row r="64" spans="2:43" x14ac:dyDescent="0.25">
      <c r="B64" t="s">
        <v>432</v>
      </c>
      <c r="D64" t="s">
        <v>670</v>
      </c>
      <c r="V64" t="s">
        <v>215</v>
      </c>
      <c r="W64">
        <v>1</v>
      </c>
      <c r="X64" s="3">
        <f>SUM($W$3:W64)/SUM(Nicknames[Weighting])</f>
        <v>0.98654970760233918</v>
      </c>
    </row>
    <row r="65" spans="2:24" x14ac:dyDescent="0.25">
      <c r="B65" t="s">
        <v>433</v>
      </c>
      <c r="D65" t="s">
        <v>671</v>
      </c>
      <c r="V65" t="s">
        <v>216</v>
      </c>
      <c r="W65">
        <v>1</v>
      </c>
      <c r="X65" s="3">
        <f>SUM($W$3:W65)/SUM(Nicknames[Weighting])</f>
        <v>0.98674463937621837</v>
      </c>
    </row>
    <row r="66" spans="2:24" x14ac:dyDescent="0.25">
      <c r="B66" t="s">
        <v>434</v>
      </c>
      <c r="D66" t="s">
        <v>672</v>
      </c>
      <c r="V66" t="s">
        <v>217</v>
      </c>
      <c r="W66">
        <v>1</v>
      </c>
      <c r="X66" s="3">
        <f>SUM($W$3:W66)/SUM(Nicknames[Weighting])</f>
        <v>0.98693957115009745</v>
      </c>
    </row>
    <row r="67" spans="2:24" x14ac:dyDescent="0.25">
      <c r="B67" t="s">
        <v>435</v>
      </c>
      <c r="D67" t="s">
        <v>673</v>
      </c>
      <c r="V67" t="s">
        <v>218</v>
      </c>
      <c r="W67">
        <v>1</v>
      </c>
      <c r="X67" s="3">
        <f>SUM($W$3:W67)/SUM(Nicknames[Weighting])</f>
        <v>0.98713450292397664</v>
      </c>
    </row>
    <row r="68" spans="2:24" x14ac:dyDescent="0.25">
      <c r="B68" t="s">
        <v>436</v>
      </c>
      <c r="D68" t="s">
        <v>674</v>
      </c>
      <c r="V68" t="s">
        <v>219</v>
      </c>
      <c r="W68">
        <v>1</v>
      </c>
      <c r="X68" s="3">
        <f>SUM($W$3:W68)/SUM(Nicknames[Weighting])</f>
        <v>0.98732943469785572</v>
      </c>
    </row>
    <row r="69" spans="2:24" x14ac:dyDescent="0.25">
      <c r="B69" t="s">
        <v>437</v>
      </c>
      <c r="D69" t="s">
        <v>675</v>
      </c>
      <c r="V69" t="s">
        <v>220</v>
      </c>
      <c r="W69">
        <v>1</v>
      </c>
      <c r="X69" s="3">
        <f>SUM($W$3:W69)/SUM(Nicknames[Weighting])</f>
        <v>0.98752436647173492</v>
      </c>
    </row>
    <row r="70" spans="2:24" x14ac:dyDescent="0.25">
      <c r="B70" t="s">
        <v>438</v>
      </c>
      <c r="D70" t="s">
        <v>676</v>
      </c>
      <c r="V70" t="s">
        <v>221</v>
      </c>
      <c r="W70">
        <v>1</v>
      </c>
      <c r="X70" s="3">
        <f>SUM($W$3:W70)/SUM(Nicknames[Weighting])</f>
        <v>0.987719298245614</v>
      </c>
    </row>
    <row r="71" spans="2:24" x14ac:dyDescent="0.25">
      <c r="B71" t="s">
        <v>439</v>
      </c>
      <c r="D71" t="s">
        <v>677</v>
      </c>
      <c r="V71" t="s">
        <v>222</v>
      </c>
      <c r="W71">
        <v>1</v>
      </c>
      <c r="X71" s="3">
        <f>SUM($W$3:W71)/SUM(Nicknames[Weighting])</f>
        <v>0.98791423001949319</v>
      </c>
    </row>
    <row r="72" spans="2:24" x14ac:dyDescent="0.25">
      <c r="B72" t="s">
        <v>328</v>
      </c>
      <c r="D72" t="s">
        <v>678</v>
      </c>
      <c r="V72" t="s">
        <v>223</v>
      </c>
      <c r="W72">
        <v>1</v>
      </c>
      <c r="X72" s="3">
        <f>SUM($W$3:W72)/SUM(Nicknames[Weighting])</f>
        <v>0.98810916179337227</v>
      </c>
    </row>
    <row r="73" spans="2:24" x14ac:dyDescent="0.25">
      <c r="B73" t="s">
        <v>440</v>
      </c>
      <c r="D73" t="s">
        <v>679</v>
      </c>
      <c r="V73" t="s">
        <v>224</v>
      </c>
      <c r="W73">
        <v>1</v>
      </c>
      <c r="X73" s="3">
        <f>SUM($W$3:W73)/SUM(Nicknames[Weighting])</f>
        <v>0.98830409356725146</v>
      </c>
    </row>
    <row r="74" spans="2:24" x14ac:dyDescent="0.25">
      <c r="B74" t="s">
        <v>441</v>
      </c>
      <c r="D74" t="s">
        <v>356</v>
      </c>
      <c r="V74" t="s">
        <v>225</v>
      </c>
      <c r="W74">
        <v>1</v>
      </c>
      <c r="X74" s="3">
        <f>SUM($W$3:W74)/SUM(Nicknames[Weighting])</f>
        <v>0.98849902534113065</v>
      </c>
    </row>
    <row r="75" spans="2:24" x14ac:dyDescent="0.25">
      <c r="B75" t="s">
        <v>442</v>
      </c>
      <c r="D75" t="s">
        <v>680</v>
      </c>
      <c r="V75" t="s">
        <v>226</v>
      </c>
      <c r="W75">
        <v>1</v>
      </c>
      <c r="X75" s="3">
        <f>SUM($W$3:W75)/SUM(Nicknames[Weighting])</f>
        <v>0.98869395711500974</v>
      </c>
    </row>
    <row r="76" spans="2:24" x14ac:dyDescent="0.25">
      <c r="B76" t="s">
        <v>443</v>
      </c>
      <c r="D76" t="s">
        <v>681</v>
      </c>
      <c r="V76" t="s">
        <v>227</v>
      </c>
      <c r="W76">
        <v>1</v>
      </c>
      <c r="X76" s="3">
        <f>SUM($W$3:W76)/SUM(Nicknames[Weighting])</f>
        <v>0.98888888888888893</v>
      </c>
    </row>
    <row r="77" spans="2:24" x14ac:dyDescent="0.25">
      <c r="B77" t="s">
        <v>444</v>
      </c>
      <c r="D77" t="s">
        <v>682</v>
      </c>
      <c r="V77" t="s">
        <v>228</v>
      </c>
      <c r="W77">
        <v>1</v>
      </c>
      <c r="X77" s="3">
        <f>SUM($W$3:W77)/SUM(Nicknames[Weighting])</f>
        <v>0.98908382066276801</v>
      </c>
    </row>
    <row r="78" spans="2:24" x14ac:dyDescent="0.25">
      <c r="B78" t="s">
        <v>445</v>
      </c>
      <c r="D78" t="s">
        <v>683</v>
      </c>
      <c r="V78" t="s">
        <v>229</v>
      </c>
      <c r="W78">
        <v>1</v>
      </c>
      <c r="X78" s="3">
        <f>SUM($W$3:W78)/SUM(Nicknames[Weighting])</f>
        <v>0.9892787524366472</v>
      </c>
    </row>
    <row r="79" spans="2:24" x14ac:dyDescent="0.25">
      <c r="B79" t="s">
        <v>446</v>
      </c>
      <c r="D79" t="s">
        <v>684</v>
      </c>
      <c r="V79" t="s">
        <v>230</v>
      </c>
      <c r="W79">
        <v>1</v>
      </c>
      <c r="X79" s="3">
        <f>SUM($W$3:W79)/SUM(Nicknames[Weighting])</f>
        <v>0.98947368421052628</v>
      </c>
    </row>
    <row r="80" spans="2:24" x14ac:dyDescent="0.25">
      <c r="B80" t="s">
        <v>447</v>
      </c>
      <c r="D80" t="s">
        <v>685</v>
      </c>
      <c r="V80" t="s">
        <v>231</v>
      </c>
      <c r="W80">
        <v>1</v>
      </c>
      <c r="X80" s="3">
        <f>SUM($W$3:W80)/SUM(Nicknames[Weighting])</f>
        <v>0.98966861598440548</v>
      </c>
    </row>
    <row r="81" spans="2:24" x14ac:dyDescent="0.25">
      <c r="B81" t="s">
        <v>448</v>
      </c>
      <c r="D81" t="s">
        <v>686</v>
      </c>
      <c r="V81" t="s">
        <v>232</v>
      </c>
      <c r="W81">
        <v>1</v>
      </c>
      <c r="X81" s="3">
        <f>SUM($W$3:W81)/SUM(Nicknames[Weighting])</f>
        <v>0.98986354775828456</v>
      </c>
    </row>
    <row r="82" spans="2:24" x14ac:dyDescent="0.25">
      <c r="B82" t="s">
        <v>449</v>
      </c>
      <c r="D82" t="s">
        <v>687</v>
      </c>
      <c r="V82" t="s">
        <v>233</v>
      </c>
      <c r="W82">
        <v>1</v>
      </c>
      <c r="X82" s="3">
        <f>SUM($W$3:W82)/SUM(Nicknames[Weighting])</f>
        <v>0.99005847953216375</v>
      </c>
    </row>
    <row r="83" spans="2:24" x14ac:dyDescent="0.25">
      <c r="B83" t="s">
        <v>450</v>
      </c>
      <c r="D83" t="s">
        <v>688</v>
      </c>
      <c r="V83" t="s">
        <v>234</v>
      </c>
      <c r="W83">
        <v>1</v>
      </c>
      <c r="X83" s="3">
        <f>SUM($W$3:W83)/SUM(Nicknames[Weighting])</f>
        <v>0.99025341130604283</v>
      </c>
    </row>
    <row r="84" spans="2:24" x14ac:dyDescent="0.25">
      <c r="B84" t="s">
        <v>451</v>
      </c>
      <c r="D84" t="s">
        <v>689</v>
      </c>
      <c r="V84" t="s">
        <v>235</v>
      </c>
      <c r="W84">
        <v>1</v>
      </c>
      <c r="X84" s="3">
        <f>SUM($W$3:W84)/SUM(Nicknames[Weighting])</f>
        <v>0.99044834307992202</v>
      </c>
    </row>
    <row r="85" spans="2:24" x14ac:dyDescent="0.25">
      <c r="B85" t="s">
        <v>452</v>
      </c>
      <c r="D85" t="s">
        <v>690</v>
      </c>
      <c r="V85" t="s">
        <v>236</v>
      </c>
      <c r="W85">
        <v>1</v>
      </c>
      <c r="X85" s="3">
        <f>SUM($W$3:W85)/SUM(Nicknames[Weighting])</f>
        <v>0.99064327485380121</v>
      </c>
    </row>
    <row r="86" spans="2:24" x14ac:dyDescent="0.25">
      <c r="B86" t="s">
        <v>329</v>
      </c>
      <c r="D86" t="s">
        <v>691</v>
      </c>
      <c r="V86" t="s">
        <v>237</v>
      </c>
      <c r="W86">
        <v>1</v>
      </c>
      <c r="X86" s="3">
        <f>SUM($W$3:W86)/SUM(Nicknames[Weighting])</f>
        <v>0.9908382066276803</v>
      </c>
    </row>
    <row r="87" spans="2:24" x14ac:dyDescent="0.25">
      <c r="B87" t="s">
        <v>453</v>
      </c>
      <c r="D87" t="s">
        <v>692</v>
      </c>
      <c r="V87" t="s">
        <v>238</v>
      </c>
      <c r="W87">
        <v>1</v>
      </c>
      <c r="X87" s="3">
        <f>SUM($W$3:W87)/SUM(Nicknames[Weighting])</f>
        <v>0.99103313840155949</v>
      </c>
    </row>
    <row r="88" spans="2:24" x14ac:dyDescent="0.25">
      <c r="B88" t="s">
        <v>454</v>
      </c>
      <c r="D88" t="s">
        <v>693</v>
      </c>
      <c r="V88" t="s">
        <v>239</v>
      </c>
      <c r="W88">
        <v>1</v>
      </c>
      <c r="X88" s="3">
        <f>SUM($W$3:W88)/SUM(Nicknames[Weighting])</f>
        <v>0.99122807017543857</v>
      </c>
    </row>
    <row r="89" spans="2:24" x14ac:dyDescent="0.25">
      <c r="B89" t="s">
        <v>455</v>
      </c>
      <c r="D89" t="s">
        <v>694</v>
      </c>
      <c r="V89" t="s">
        <v>240</v>
      </c>
      <c r="W89">
        <v>1</v>
      </c>
      <c r="X89" s="3">
        <f>SUM($W$3:W89)/SUM(Nicknames[Weighting])</f>
        <v>0.99142300194931776</v>
      </c>
    </row>
    <row r="90" spans="2:24" x14ac:dyDescent="0.25">
      <c r="B90" t="s">
        <v>456</v>
      </c>
      <c r="D90" t="s">
        <v>695</v>
      </c>
      <c r="V90" t="s">
        <v>241</v>
      </c>
      <c r="W90">
        <v>1</v>
      </c>
      <c r="X90" s="3">
        <f>SUM($W$3:W90)/SUM(Nicknames[Weighting])</f>
        <v>0.99161793372319684</v>
      </c>
    </row>
    <row r="91" spans="2:24" x14ac:dyDescent="0.25">
      <c r="B91" t="s">
        <v>330</v>
      </c>
      <c r="D91" t="s">
        <v>696</v>
      </c>
      <c r="V91" t="s">
        <v>242</v>
      </c>
      <c r="W91">
        <v>1</v>
      </c>
      <c r="X91" s="3">
        <f>SUM($W$3:W91)/SUM(Nicknames[Weighting])</f>
        <v>0.99181286549707603</v>
      </c>
    </row>
    <row r="92" spans="2:24" x14ac:dyDescent="0.25">
      <c r="B92" t="s">
        <v>457</v>
      </c>
      <c r="D92" t="s">
        <v>697</v>
      </c>
      <c r="V92" t="s">
        <v>243</v>
      </c>
      <c r="W92">
        <v>1</v>
      </c>
      <c r="X92" s="3">
        <f>SUM($W$3:W92)/SUM(Nicknames[Weighting])</f>
        <v>0.99200779727095512</v>
      </c>
    </row>
    <row r="93" spans="2:24" x14ac:dyDescent="0.25">
      <c r="B93" t="s">
        <v>458</v>
      </c>
      <c r="D93" t="s">
        <v>698</v>
      </c>
      <c r="V93" t="s">
        <v>244</v>
      </c>
      <c r="W93">
        <v>1</v>
      </c>
      <c r="X93" s="3">
        <f>SUM($W$3:W93)/SUM(Nicknames[Weighting])</f>
        <v>0.99220272904483431</v>
      </c>
    </row>
    <row r="94" spans="2:24" x14ac:dyDescent="0.25">
      <c r="B94" t="s">
        <v>331</v>
      </c>
      <c r="D94" t="s">
        <v>357</v>
      </c>
      <c r="V94" t="s">
        <v>245</v>
      </c>
      <c r="W94">
        <v>1</v>
      </c>
      <c r="X94" s="3">
        <f>SUM($W$3:W94)/SUM(Nicknames[Weighting])</f>
        <v>0.9923976608187135</v>
      </c>
    </row>
    <row r="95" spans="2:24" x14ac:dyDescent="0.25">
      <c r="B95" t="s">
        <v>459</v>
      </c>
      <c r="D95" t="s">
        <v>358</v>
      </c>
      <c r="V95" t="s">
        <v>246</v>
      </c>
      <c r="W95">
        <v>1</v>
      </c>
      <c r="X95" s="3">
        <f>SUM($W$3:W95)/SUM(Nicknames[Weighting])</f>
        <v>0.99259259259259258</v>
      </c>
    </row>
    <row r="96" spans="2:24" x14ac:dyDescent="0.25">
      <c r="B96" t="s">
        <v>332</v>
      </c>
      <c r="D96" t="s">
        <v>699</v>
      </c>
      <c r="V96" t="s">
        <v>247</v>
      </c>
      <c r="W96">
        <v>1</v>
      </c>
      <c r="X96" s="3">
        <f>SUM($W$3:W96)/SUM(Nicknames[Weighting])</f>
        <v>0.99278752436647177</v>
      </c>
    </row>
    <row r="97" spans="2:24" x14ac:dyDescent="0.25">
      <c r="B97" t="s">
        <v>460</v>
      </c>
      <c r="D97" t="s">
        <v>359</v>
      </c>
      <c r="V97" t="s">
        <v>248</v>
      </c>
      <c r="W97">
        <v>1</v>
      </c>
      <c r="X97" s="3">
        <f>SUM($W$3:W97)/SUM(Nicknames[Weighting])</f>
        <v>0.99298245614035086</v>
      </c>
    </row>
    <row r="98" spans="2:24" x14ac:dyDescent="0.25">
      <c r="B98" t="s">
        <v>461</v>
      </c>
      <c r="D98" t="s">
        <v>360</v>
      </c>
      <c r="V98" t="s">
        <v>249</v>
      </c>
      <c r="W98">
        <v>1</v>
      </c>
      <c r="X98" s="3">
        <f>SUM($W$3:W98)/SUM(Nicknames[Weighting])</f>
        <v>0.99317738791423005</v>
      </c>
    </row>
    <row r="99" spans="2:24" x14ac:dyDescent="0.25">
      <c r="B99" t="s">
        <v>462</v>
      </c>
      <c r="D99" t="s">
        <v>700</v>
      </c>
      <c r="V99" t="s">
        <v>250</v>
      </c>
      <c r="W99">
        <v>1</v>
      </c>
      <c r="X99" s="3">
        <f>SUM($W$3:W99)/SUM(Nicknames[Weighting])</f>
        <v>0.99337231968810913</v>
      </c>
    </row>
    <row r="100" spans="2:24" x14ac:dyDescent="0.25">
      <c r="B100" t="s">
        <v>463</v>
      </c>
      <c r="D100" t="s">
        <v>701</v>
      </c>
      <c r="V100" t="s">
        <v>251</v>
      </c>
      <c r="W100">
        <v>1</v>
      </c>
      <c r="X100" s="3">
        <f>SUM($W$3:W100)/SUM(Nicknames[Weighting])</f>
        <v>0.99356725146198832</v>
      </c>
    </row>
    <row r="101" spans="2:24" x14ac:dyDescent="0.25">
      <c r="B101" t="s">
        <v>464</v>
      </c>
      <c r="D101" t="s">
        <v>702</v>
      </c>
      <c r="V101" t="s">
        <v>252</v>
      </c>
      <c r="W101">
        <v>1</v>
      </c>
      <c r="X101" s="3">
        <f>SUM($W$3:W101)/SUM(Nicknames[Weighting])</f>
        <v>0.9937621832358674</v>
      </c>
    </row>
    <row r="102" spans="2:24" x14ac:dyDescent="0.25">
      <c r="B102" t="s">
        <v>465</v>
      </c>
      <c r="D102" t="s">
        <v>703</v>
      </c>
      <c r="V102" t="s">
        <v>253</v>
      </c>
      <c r="W102">
        <v>1</v>
      </c>
      <c r="X102" s="3">
        <f>SUM($W$3:W102)/SUM(Nicknames[Weighting])</f>
        <v>0.99395711500974659</v>
      </c>
    </row>
    <row r="103" spans="2:24" x14ac:dyDescent="0.25">
      <c r="B103" t="s">
        <v>466</v>
      </c>
      <c r="D103" t="s">
        <v>361</v>
      </c>
      <c r="V103" t="s">
        <v>254</v>
      </c>
      <c r="W103">
        <v>1</v>
      </c>
      <c r="X103" s="3">
        <f>SUM($W$3:W103)/SUM(Nicknames[Weighting])</f>
        <v>0.99415204678362568</v>
      </c>
    </row>
    <row r="104" spans="2:24" x14ac:dyDescent="0.25">
      <c r="B104" t="s">
        <v>467</v>
      </c>
      <c r="D104" t="s">
        <v>704</v>
      </c>
      <c r="V104" t="s">
        <v>255</v>
      </c>
      <c r="W104">
        <v>1</v>
      </c>
      <c r="X104" s="3">
        <f>SUM($W$3:W104)/SUM(Nicknames[Weighting])</f>
        <v>0.99434697855750487</v>
      </c>
    </row>
    <row r="105" spans="2:24" x14ac:dyDescent="0.25">
      <c r="B105" t="s">
        <v>468</v>
      </c>
      <c r="D105" t="s">
        <v>705</v>
      </c>
      <c r="V105" t="s">
        <v>256</v>
      </c>
      <c r="W105">
        <v>1</v>
      </c>
      <c r="X105" s="3">
        <f>SUM($W$3:W105)/SUM(Nicknames[Weighting])</f>
        <v>0.99454191033138406</v>
      </c>
    </row>
    <row r="106" spans="2:24" x14ac:dyDescent="0.25">
      <c r="B106" t="s">
        <v>469</v>
      </c>
      <c r="D106" t="s">
        <v>362</v>
      </c>
      <c r="V106" t="s">
        <v>257</v>
      </c>
      <c r="W106">
        <v>1</v>
      </c>
      <c r="X106" s="3">
        <f>SUM($W$3:W106)/SUM(Nicknames[Weighting])</f>
        <v>0.99473684210526314</v>
      </c>
    </row>
    <row r="107" spans="2:24" x14ac:dyDescent="0.25">
      <c r="B107" t="s">
        <v>470</v>
      </c>
      <c r="D107" t="s">
        <v>706</v>
      </c>
      <c r="V107" t="s">
        <v>258</v>
      </c>
      <c r="W107">
        <v>1</v>
      </c>
      <c r="X107" s="3">
        <f>SUM($W$3:W107)/SUM(Nicknames[Weighting])</f>
        <v>0.99493177387914233</v>
      </c>
    </row>
    <row r="108" spans="2:24" x14ac:dyDescent="0.25">
      <c r="B108" t="s">
        <v>471</v>
      </c>
      <c r="D108" t="s">
        <v>707</v>
      </c>
      <c r="V108" t="s">
        <v>259</v>
      </c>
      <c r="W108">
        <v>1</v>
      </c>
      <c r="X108" s="3">
        <f>SUM($W$3:W108)/SUM(Nicknames[Weighting])</f>
        <v>0.99512670565302142</v>
      </c>
    </row>
    <row r="109" spans="2:24" x14ac:dyDescent="0.25">
      <c r="B109" t="s">
        <v>472</v>
      </c>
      <c r="D109" t="s">
        <v>708</v>
      </c>
      <c r="V109" t="s">
        <v>260</v>
      </c>
      <c r="W109">
        <v>1</v>
      </c>
      <c r="X109" s="3">
        <f>SUM($W$3:W109)/SUM(Nicknames[Weighting])</f>
        <v>0.99532163742690061</v>
      </c>
    </row>
    <row r="110" spans="2:24" x14ac:dyDescent="0.25">
      <c r="B110" t="s">
        <v>379</v>
      </c>
      <c r="D110" t="s">
        <v>709</v>
      </c>
      <c r="V110" t="s">
        <v>261</v>
      </c>
      <c r="W110">
        <v>1</v>
      </c>
      <c r="X110" s="3">
        <f>SUM($W$3:W110)/SUM(Nicknames[Weighting])</f>
        <v>0.99551656920077969</v>
      </c>
    </row>
    <row r="111" spans="2:24" x14ac:dyDescent="0.25">
      <c r="B111" t="s">
        <v>473</v>
      </c>
      <c r="D111" t="s">
        <v>710</v>
      </c>
      <c r="V111" t="s">
        <v>262</v>
      </c>
      <c r="W111">
        <v>1</v>
      </c>
      <c r="X111" s="3">
        <f>SUM($W$3:W111)/SUM(Nicknames[Weighting])</f>
        <v>0.99571150097465888</v>
      </c>
    </row>
    <row r="112" spans="2:24" x14ac:dyDescent="0.25">
      <c r="B112" t="s">
        <v>474</v>
      </c>
      <c r="D112" t="s">
        <v>711</v>
      </c>
      <c r="V112" t="s">
        <v>263</v>
      </c>
      <c r="W112">
        <v>1</v>
      </c>
      <c r="X112" s="3">
        <f>SUM($W$3:W112)/SUM(Nicknames[Weighting])</f>
        <v>0.99590643274853796</v>
      </c>
    </row>
    <row r="113" spans="2:24" x14ac:dyDescent="0.25">
      <c r="B113" t="s">
        <v>475</v>
      </c>
      <c r="D113" t="s">
        <v>712</v>
      </c>
      <c r="V113" t="s">
        <v>264</v>
      </c>
      <c r="W113">
        <v>1</v>
      </c>
      <c r="X113" s="3">
        <f>SUM($W$3:W113)/SUM(Nicknames[Weighting])</f>
        <v>0.99610136452241715</v>
      </c>
    </row>
    <row r="114" spans="2:24" x14ac:dyDescent="0.25">
      <c r="B114" t="s">
        <v>476</v>
      </c>
      <c r="D114" t="s">
        <v>363</v>
      </c>
      <c r="V114" t="s">
        <v>265</v>
      </c>
      <c r="W114">
        <v>1</v>
      </c>
      <c r="X114" s="3">
        <f>SUM($W$3:W114)/SUM(Nicknames[Weighting])</f>
        <v>0.99629629629629635</v>
      </c>
    </row>
    <row r="115" spans="2:24" x14ac:dyDescent="0.25">
      <c r="B115" t="s">
        <v>477</v>
      </c>
      <c r="D115" t="s">
        <v>364</v>
      </c>
      <c r="V115" t="s">
        <v>266</v>
      </c>
      <c r="W115">
        <v>1</v>
      </c>
      <c r="X115" s="3">
        <f>SUM($W$3:W115)/SUM(Nicknames[Weighting])</f>
        <v>0.99649122807017543</v>
      </c>
    </row>
    <row r="116" spans="2:24" x14ac:dyDescent="0.25">
      <c r="B116" t="s">
        <v>478</v>
      </c>
      <c r="D116" t="s">
        <v>713</v>
      </c>
      <c r="V116" t="s">
        <v>267</v>
      </c>
      <c r="W116">
        <v>1</v>
      </c>
      <c r="X116" s="3">
        <f>SUM($W$3:W116)/SUM(Nicknames[Weighting])</f>
        <v>0.99668615984405462</v>
      </c>
    </row>
    <row r="117" spans="2:24" x14ac:dyDescent="0.25">
      <c r="B117" t="s">
        <v>479</v>
      </c>
      <c r="D117" t="s">
        <v>714</v>
      </c>
      <c r="V117" t="s">
        <v>268</v>
      </c>
      <c r="W117">
        <v>1</v>
      </c>
      <c r="X117" s="3">
        <f>SUM($W$3:W117)/SUM(Nicknames[Weighting])</f>
        <v>0.9968810916179337</v>
      </c>
    </row>
    <row r="118" spans="2:24" x14ac:dyDescent="0.25">
      <c r="B118" t="s">
        <v>480</v>
      </c>
      <c r="D118" t="s">
        <v>715</v>
      </c>
      <c r="V118" t="s">
        <v>269</v>
      </c>
      <c r="W118">
        <v>1</v>
      </c>
      <c r="X118" s="3">
        <f>SUM($W$3:W118)/SUM(Nicknames[Weighting])</f>
        <v>0.99707602339181289</v>
      </c>
    </row>
    <row r="119" spans="2:24" x14ac:dyDescent="0.25">
      <c r="B119" t="s">
        <v>481</v>
      </c>
      <c r="D119" t="s">
        <v>716</v>
      </c>
      <c r="V119" t="s">
        <v>270</v>
      </c>
      <c r="W119">
        <v>1</v>
      </c>
      <c r="X119" s="3">
        <f>SUM($W$3:W119)/SUM(Nicknames[Weighting])</f>
        <v>0.99727095516569197</v>
      </c>
    </row>
    <row r="120" spans="2:24" x14ac:dyDescent="0.25">
      <c r="B120" t="s">
        <v>380</v>
      </c>
      <c r="D120" t="s">
        <v>717</v>
      </c>
      <c r="V120" t="s">
        <v>271</v>
      </c>
      <c r="W120">
        <v>1</v>
      </c>
      <c r="X120" s="3">
        <f>SUM($W$3:W120)/SUM(Nicknames[Weighting])</f>
        <v>0.99746588693957117</v>
      </c>
    </row>
    <row r="121" spans="2:24" x14ac:dyDescent="0.25">
      <c r="B121" t="s">
        <v>482</v>
      </c>
      <c r="D121" t="s">
        <v>365</v>
      </c>
      <c r="V121" t="s">
        <v>272</v>
      </c>
      <c r="W121">
        <v>1</v>
      </c>
      <c r="X121" s="3">
        <f>SUM($W$3:W121)/SUM(Nicknames[Weighting])</f>
        <v>0.99766081871345025</v>
      </c>
    </row>
    <row r="122" spans="2:24" x14ac:dyDescent="0.25">
      <c r="B122" t="s">
        <v>483</v>
      </c>
      <c r="D122" t="s">
        <v>718</v>
      </c>
      <c r="V122" t="s">
        <v>273</v>
      </c>
      <c r="W122">
        <v>1</v>
      </c>
      <c r="X122" s="3">
        <f>SUM($W$3:W122)/SUM(Nicknames[Weighting])</f>
        <v>0.99785575048732944</v>
      </c>
    </row>
    <row r="123" spans="2:24" x14ac:dyDescent="0.25">
      <c r="B123" t="s">
        <v>484</v>
      </c>
      <c r="D123" t="s">
        <v>719</v>
      </c>
      <c r="V123" t="s">
        <v>274</v>
      </c>
      <c r="W123">
        <v>1</v>
      </c>
      <c r="X123" s="3">
        <f>SUM($W$3:W123)/SUM(Nicknames[Weighting])</f>
        <v>0.99805068226120852</v>
      </c>
    </row>
    <row r="124" spans="2:24" x14ac:dyDescent="0.25">
      <c r="B124" t="s">
        <v>485</v>
      </c>
      <c r="D124" t="s">
        <v>720</v>
      </c>
      <c r="V124" t="s">
        <v>275</v>
      </c>
      <c r="W124">
        <v>1</v>
      </c>
      <c r="X124" s="3">
        <f>SUM($W$3:W124)/SUM(Nicknames[Weighting])</f>
        <v>0.99824561403508771</v>
      </c>
    </row>
    <row r="125" spans="2:24" x14ac:dyDescent="0.25">
      <c r="B125" t="s">
        <v>486</v>
      </c>
      <c r="D125" t="s">
        <v>721</v>
      </c>
      <c r="V125" t="s">
        <v>276</v>
      </c>
      <c r="W125">
        <v>1</v>
      </c>
      <c r="X125" s="3">
        <f>SUM($W$3:W125)/SUM(Nicknames[Weighting])</f>
        <v>0.99844054580896691</v>
      </c>
    </row>
    <row r="126" spans="2:24" x14ac:dyDescent="0.25">
      <c r="B126" t="s">
        <v>381</v>
      </c>
      <c r="D126" t="s">
        <v>722</v>
      </c>
      <c r="V126" t="s">
        <v>277</v>
      </c>
      <c r="W126">
        <v>1</v>
      </c>
      <c r="X126" s="3">
        <f>SUM($W$3:W126)/SUM(Nicknames[Weighting])</f>
        <v>0.99863547758284599</v>
      </c>
    </row>
    <row r="127" spans="2:24" x14ac:dyDescent="0.25">
      <c r="B127" t="s">
        <v>487</v>
      </c>
      <c r="D127" t="s">
        <v>366</v>
      </c>
      <c r="V127" t="s">
        <v>278</v>
      </c>
      <c r="W127">
        <v>1</v>
      </c>
      <c r="X127" s="3">
        <f>SUM($W$3:W127)/SUM(Nicknames[Weighting])</f>
        <v>0.99883040935672518</v>
      </c>
    </row>
    <row r="128" spans="2:24" x14ac:dyDescent="0.25">
      <c r="B128" t="s">
        <v>333</v>
      </c>
      <c r="D128" t="s">
        <v>723</v>
      </c>
      <c r="V128" t="s">
        <v>279</v>
      </c>
      <c r="W128">
        <v>1</v>
      </c>
      <c r="X128" s="3">
        <f>SUM($W$3:W128)/SUM(Nicknames[Weighting])</f>
        <v>0.99902534113060426</v>
      </c>
    </row>
    <row r="129" spans="2:24" x14ac:dyDescent="0.25">
      <c r="B129" t="s">
        <v>334</v>
      </c>
      <c r="D129" t="s">
        <v>724</v>
      </c>
      <c r="V129" t="s">
        <v>280</v>
      </c>
      <c r="W129">
        <v>1</v>
      </c>
      <c r="X129" s="3">
        <f>SUM($W$3:W129)/SUM(Nicknames[Weighting])</f>
        <v>0.99922027290448345</v>
      </c>
    </row>
    <row r="130" spans="2:24" x14ac:dyDescent="0.25">
      <c r="B130" t="s">
        <v>488</v>
      </c>
      <c r="D130" t="s">
        <v>725</v>
      </c>
      <c r="V130" t="s">
        <v>281</v>
      </c>
      <c r="W130">
        <v>1</v>
      </c>
      <c r="X130" s="3">
        <f>SUM($W$3:W130)/SUM(Nicknames[Weighting])</f>
        <v>0.99941520467836253</v>
      </c>
    </row>
    <row r="131" spans="2:24" x14ac:dyDescent="0.25">
      <c r="B131" t="s">
        <v>489</v>
      </c>
      <c r="D131" t="s">
        <v>726</v>
      </c>
      <c r="V131" t="s">
        <v>282</v>
      </c>
      <c r="W131">
        <v>1</v>
      </c>
      <c r="X131" s="3">
        <f>SUM($W$3:W131)/SUM(Nicknames[Weighting])</f>
        <v>0.99961013645224173</v>
      </c>
    </row>
    <row r="132" spans="2:24" x14ac:dyDescent="0.25">
      <c r="B132" t="s">
        <v>316</v>
      </c>
      <c r="D132" t="s">
        <v>727</v>
      </c>
      <c r="V132" t="s">
        <v>283</v>
      </c>
      <c r="W132">
        <v>1</v>
      </c>
      <c r="X132" s="3">
        <f>SUM($W$3:W132)/SUM(Nicknames[Weighting])</f>
        <v>0.99980506822612081</v>
      </c>
    </row>
    <row r="133" spans="2:24" x14ac:dyDescent="0.25">
      <c r="B133" t="s">
        <v>490</v>
      </c>
      <c r="D133" t="s">
        <v>728</v>
      </c>
      <c r="V133" t="s">
        <v>284</v>
      </c>
      <c r="W133">
        <v>1</v>
      </c>
      <c r="X133" s="3">
        <f>SUM($W$3:W133)/SUM(Nicknames[Weighting])</f>
        <v>1</v>
      </c>
    </row>
    <row r="134" spans="2:24" x14ac:dyDescent="0.25">
      <c r="B134" t="s">
        <v>491</v>
      </c>
      <c r="D134" t="s">
        <v>729</v>
      </c>
      <c r="X134" s="3"/>
    </row>
    <row r="135" spans="2:24" x14ac:dyDescent="0.25">
      <c r="B135" t="s">
        <v>492</v>
      </c>
      <c r="D135" t="s">
        <v>730</v>
      </c>
      <c r="X135" s="3"/>
    </row>
    <row r="136" spans="2:24" x14ac:dyDescent="0.25">
      <c r="B136" t="s">
        <v>335</v>
      </c>
      <c r="D136" t="s">
        <v>731</v>
      </c>
      <c r="X136" s="3"/>
    </row>
    <row r="137" spans="2:24" x14ac:dyDescent="0.25">
      <c r="B137" t="s">
        <v>336</v>
      </c>
      <c r="D137" t="s">
        <v>732</v>
      </c>
      <c r="X137" s="3"/>
    </row>
    <row r="138" spans="2:24" x14ac:dyDescent="0.25">
      <c r="B138" t="s">
        <v>493</v>
      </c>
      <c r="D138" t="s">
        <v>733</v>
      </c>
      <c r="X138" s="3"/>
    </row>
    <row r="139" spans="2:24" x14ac:dyDescent="0.25">
      <c r="B139" t="s">
        <v>494</v>
      </c>
      <c r="D139" t="s">
        <v>734</v>
      </c>
      <c r="X139" s="3"/>
    </row>
    <row r="140" spans="2:24" x14ac:dyDescent="0.25">
      <c r="B140" t="s">
        <v>495</v>
      </c>
      <c r="D140" t="s">
        <v>735</v>
      </c>
      <c r="X140" s="3"/>
    </row>
    <row r="141" spans="2:24" x14ac:dyDescent="0.25">
      <c r="B141" t="s">
        <v>496</v>
      </c>
      <c r="D141" t="s">
        <v>736</v>
      </c>
      <c r="X141" s="3"/>
    </row>
    <row r="142" spans="2:24" x14ac:dyDescent="0.25">
      <c r="B142" t="s">
        <v>497</v>
      </c>
      <c r="D142" t="s">
        <v>737</v>
      </c>
      <c r="X142" s="3"/>
    </row>
    <row r="143" spans="2:24" x14ac:dyDescent="0.25">
      <c r="B143" t="s">
        <v>498</v>
      </c>
      <c r="D143" t="s">
        <v>738</v>
      </c>
      <c r="X143" s="3"/>
    </row>
    <row r="144" spans="2:24" x14ac:dyDescent="0.25">
      <c r="B144" t="s">
        <v>499</v>
      </c>
      <c r="D144" t="s">
        <v>739</v>
      </c>
      <c r="X144" s="3"/>
    </row>
    <row r="145" spans="2:24" x14ac:dyDescent="0.25">
      <c r="B145" t="s">
        <v>500</v>
      </c>
      <c r="D145" t="s">
        <v>375</v>
      </c>
      <c r="X145" s="3"/>
    </row>
    <row r="146" spans="2:24" x14ac:dyDescent="0.25">
      <c r="B146" t="s">
        <v>501</v>
      </c>
      <c r="D146" t="s">
        <v>367</v>
      </c>
      <c r="X146" s="3"/>
    </row>
    <row r="147" spans="2:24" x14ac:dyDescent="0.25">
      <c r="B147" t="s">
        <v>502</v>
      </c>
      <c r="D147" t="s">
        <v>740</v>
      </c>
      <c r="X147" s="3"/>
    </row>
    <row r="148" spans="2:24" x14ac:dyDescent="0.25">
      <c r="B148" t="s">
        <v>337</v>
      </c>
      <c r="D148" t="s">
        <v>741</v>
      </c>
      <c r="X148" s="3"/>
    </row>
    <row r="149" spans="2:24" x14ac:dyDescent="0.25">
      <c r="B149" t="s">
        <v>503</v>
      </c>
      <c r="D149" t="s">
        <v>742</v>
      </c>
      <c r="X149" s="3"/>
    </row>
    <row r="150" spans="2:24" x14ac:dyDescent="0.25">
      <c r="B150" t="s">
        <v>338</v>
      </c>
      <c r="D150" t="s">
        <v>743</v>
      </c>
      <c r="X150" s="3"/>
    </row>
    <row r="151" spans="2:24" x14ac:dyDescent="0.25">
      <c r="B151" t="s">
        <v>504</v>
      </c>
      <c r="D151" t="s">
        <v>744</v>
      </c>
      <c r="X151" s="3"/>
    </row>
    <row r="152" spans="2:24" x14ac:dyDescent="0.25">
      <c r="B152" t="s">
        <v>505</v>
      </c>
      <c r="D152" t="s">
        <v>745</v>
      </c>
      <c r="X152" s="3"/>
    </row>
    <row r="153" spans="2:24" x14ac:dyDescent="0.25">
      <c r="B153" t="s">
        <v>506</v>
      </c>
      <c r="D153" t="s">
        <v>746</v>
      </c>
      <c r="X153" s="3"/>
    </row>
    <row r="154" spans="2:24" x14ac:dyDescent="0.25">
      <c r="B154" t="s">
        <v>507</v>
      </c>
      <c r="D154" t="s">
        <v>747</v>
      </c>
      <c r="X154" s="3"/>
    </row>
    <row r="155" spans="2:24" x14ac:dyDescent="0.25">
      <c r="B155" t="s">
        <v>508</v>
      </c>
      <c r="D155" t="s">
        <v>748</v>
      </c>
      <c r="X155" s="3"/>
    </row>
    <row r="156" spans="2:24" x14ac:dyDescent="0.25">
      <c r="B156" t="s">
        <v>509</v>
      </c>
      <c r="D156" t="s">
        <v>749</v>
      </c>
      <c r="X156" s="3"/>
    </row>
    <row r="157" spans="2:24" x14ac:dyDescent="0.25">
      <c r="B157" t="s">
        <v>339</v>
      </c>
      <c r="D157" t="s">
        <v>750</v>
      </c>
      <c r="X157" s="3"/>
    </row>
    <row r="158" spans="2:24" x14ac:dyDescent="0.25">
      <c r="B158" t="s">
        <v>510</v>
      </c>
      <c r="D158" t="s">
        <v>751</v>
      </c>
      <c r="X158" s="3"/>
    </row>
    <row r="159" spans="2:24" x14ac:dyDescent="0.25">
      <c r="B159" t="s">
        <v>511</v>
      </c>
      <c r="D159" t="s">
        <v>752</v>
      </c>
      <c r="X159" s="3"/>
    </row>
    <row r="160" spans="2:24" x14ac:dyDescent="0.25">
      <c r="B160" t="s">
        <v>340</v>
      </c>
      <c r="D160" t="s">
        <v>753</v>
      </c>
      <c r="X160" s="3"/>
    </row>
    <row r="161" spans="2:24" x14ac:dyDescent="0.25">
      <c r="B161" t="s">
        <v>512</v>
      </c>
      <c r="D161" t="s">
        <v>368</v>
      </c>
      <c r="X161" s="3"/>
    </row>
    <row r="162" spans="2:24" x14ac:dyDescent="0.25">
      <c r="B162" t="s">
        <v>513</v>
      </c>
      <c r="D162" t="s">
        <v>754</v>
      </c>
      <c r="X162" s="3"/>
    </row>
    <row r="163" spans="2:24" x14ac:dyDescent="0.25">
      <c r="B163" t="s">
        <v>514</v>
      </c>
      <c r="D163" t="s">
        <v>369</v>
      </c>
      <c r="X163" s="3"/>
    </row>
    <row r="164" spans="2:24" x14ac:dyDescent="0.25">
      <c r="B164" t="s">
        <v>515</v>
      </c>
      <c r="D164" t="s">
        <v>755</v>
      </c>
      <c r="X164" s="3"/>
    </row>
    <row r="165" spans="2:24" x14ac:dyDescent="0.25">
      <c r="B165" t="s">
        <v>516</v>
      </c>
      <c r="D165" t="s">
        <v>756</v>
      </c>
      <c r="X165" s="3"/>
    </row>
    <row r="166" spans="2:24" x14ac:dyDescent="0.25">
      <c r="B166" t="s">
        <v>517</v>
      </c>
      <c r="D166" t="s">
        <v>757</v>
      </c>
      <c r="X166" s="3"/>
    </row>
    <row r="167" spans="2:24" x14ac:dyDescent="0.25">
      <c r="B167" t="s">
        <v>518</v>
      </c>
      <c r="D167" t="s">
        <v>758</v>
      </c>
      <c r="X167" s="3"/>
    </row>
    <row r="168" spans="2:24" x14ac:dyDescent="0.25">
      <c r="B168" t="s">
        <v>519</v>
      </c>
      <c r="D168" t="s">
        <v>759</v>
      </c>
      <c r="X168" s="3"/>
    </row>
    <row r="169" spans="2:24" x14ac:dyDescent="0.25">
      <c r="B169" t="s">
        <v>520</v>
      </c>
      <c r="D169" t="s">
        <v>760</v>
      </c>
      <c r="X169" s="3"/>
    </row>
    <row r="170" spans="2:24" x14ac:dyDescent="0.25">
      <c r="B170" t="s">
        <v>521</v>
      </c>
      <c r="D170" t="s">
        <v>761</v>
      </c>
      <c r="X170" s="3"/>
    </row>
    <row r="171" spans="2:24" x14ac:dyDescent="0.25">
      <c r="B171" t="s">
        <v>522</v>
      </c>
      <c r="D171" t="s">
        <v>762</v>
      </c>
      <c r="X171" s="3"/>
    </row>
    <row r="172" spans="2:24" x14ac:dyDescent="0.25">
      <c r="B172" t="s">
        <v>523</v>
      </c>
      <c r="D172" t="s">
        <v>763</v>
      </c>
      <c r="X172" s="3"/>
    </row>
    <row r="173" spans="2:24" x14ac:dyDescent="0.25">
      <c r="B173" t="s">
        <v>524</v>
      </c>
      <c r="D173" t="s">
        <v>764</v>
      </c>
      <c r="X173" s="3"/>
    </row>
    <row r="174" spans="2:24" x14ac:dyDescent="0.25">
      <c r="B174" t="s">
        <v>525</v>
      </c>
      <c r="D174" t="s">
        <v>765</v>
      </c>
      <c r="X174" s="3"/>
    </row>
    <row r="175" spans="2:24" x14ac:dyDescent="0.25">
      <c r="B175" t="s">
        <v>373</v>
      </c>
      <c r="D175" t="s">
        <v>766</v>
      </c>
      <c r="X175" s="3"/>
    </row>
    <row r="176" spans="2:24" x14ac:dyDescent="0.25">
      <c r="B176" t="s">
        <v>526</v>
      </c>
      <c r="D176" t="s">
        <v>767</v>
      </c>
      <c r="X176" s="3"/>
    </row>
    <row r="177" spans="2:24" x14ac:dyDescent="0.25">
      <c r="B177" t="s">
        <v>527</v>
      </c>
      <c r="D177" t="s">
        <v>768</v>
      </c>
      <c r="X177" s="3"/>
    </row>
    <row r="178" spans="2:24" x14ac:dyDescent="0.25">
      <c r="B178" t="s">
        <v>528</v>
      </c>
      <c r="D178" t="s">
        <v>769</v>
      </c>
      <c r="X178" s="3"/>
    </row>
    <row r="179" spans="2:24" x14ac:dyDescent="0.25">
      <c r="B179" t="s">
        <v>341</v>
      </c>
      <c r="D179" t="s">
        <v>770</v>
      </c>
      <c r="X179" s="3"/>
    </row>
    <row r="180" spans="2:24" x14ac:dyDescent="0.25">
      <c r="B180" t="s">
        <v>342</v>
      </c>
      <c r="D180" t="s">
        <v>771</v>
      </c>
      <c r="X180" s="3"/>
    </row>
    <row r="181" spans="2:24" x14ac:dyDescent="0.25">
      <c r="B181" t="s">
        <v>529</v>
      </c>
      <c r="D181" t="s">
        <v>772</v>
      </c>
      <c r="X181" s="3"/>
    </row>
    <row r="182" spans="2:24" x14ac:dyDescent="0.25">
      <c r="B182" t="s">
        <v>343</v>
      </c>
      <c r="D182" t="s">
        <v>773</v>
      </c>
      <c r="X182" s="3"/>
    </row>
    <row r="183" spans="2:24" x14ac:dyDescent="0.25">
      <c r="B183" t="s">
        <v>530</v>
      </c>
      <c r="D183" t="s">
        <v>774</v>
      </c>
      <c r="X183" s="3"/>
    </row>
    <row r="184" spans="2:24" x14ac:dyDescent="0.25">
      <c r="B184" t="s">
        <v>531</v>
      </c>
      <c r="D184" t="s">
        <v>775</v>
      </c>
      <c r="X184" s="3"/>
    </row>
    <row r="185" spans="2:24" x14ac:dyDescent="0.25">
      <c r="B185" t="s">
        <v>532</v>
      </c>
      <c r="D185" t="s">
        <v>776</v>
      </c>
      <c r="X185" s="3"/>
    </row>
    <row r="186" spans="2:24" x14ac:dyDescent="0.25">
      <c r="B186" t="s">
        <v>533</v>
      </c>
      <c r="D186" t="s">
        <v>777</v>
      </c>
      <c r="X186" s="3"/>
    </row>
    <row r="187" spans="2:24" x14ac:dyDescent="0.25">
      <c r="B187" t="s">
        <v>534</v>
      </c>
      <c r="D187" t="s">
        <v>778</v>
      </c>
      <c r="X187" s="3"/>
    </row>
    <row r="188" spans="2:24" x14ac:dyDescent="0.25">
      <c r="B188" t="s">
        <v>535</v>
      </c>
      <c r="D188" t="s">
        <v>371</v>
      </c>
      <c r="X188" s="3"/>
    </row>
    <row r="189" spans="2:24" x14ac:dyDescent="0.25">
      <c r="B189" t="s">
        <v>536</v>
      </c>
      <c r="D189" t="s">
        <v>779</v>
      </c>
      <c r="X189" s="3"/>
    </row>
    <row r="190" spans="2:24" x14ac:dyDescent="0.25">
      <c r="B190" t="s">
        <v>382</v>
      </c>
      <c r="D190" t="s">
        <v>780</v>
      </c>
      <c r="X190" s="3"/>
    </row>
    <row r="191" spans="2:24" x14ac:dyDescent="0.25">
      <c r="B191" t="s">
        <v>344</v>
      </c>
      <c r="D191" t="s">
        <v>781</v>
      </c>
      <c r="X191" s="3"/>
    </row>
    <row r="192" spans="2:24" x14ac:dyDescent="0.25">
      <c r="B192" t="s">
        <v>537</v>
      </c>
      <c r="D192" t="s">
        <v>782</v>
      </c>
      <c r="X192" s="3"/>
    </row>
    <row r="193" spans="2:24" x14ac:dyDescent="0.25">
      <c r="B193" t="s">
        <v>538</v>
      </c>
      <c r="D193" t="s">
        <v>783</v>
      </c>
      <c r="X193" s="3"/>
    </row>
    <row r="194" spans="2:24" x14ac:dyDescent="0.25">
      <c r="B194" t="s">
        <v>539</v>
      </c>
      <c r="D194" t="s">
        <v>784</v>
      </c>
      <c r="X194" s="3"/>
    </row>
    <row r="195" spans="2:24" x14ac:dyDescent="0.25">
      <c r="B195" t="s">
        <v>540</v>
      </c>
      <c r="D195" t="s">
        <v>785</v>
      </c>
      <c r="X195" s="3"/>
    </row>
    <row r="196" spans="2:24" x14ac:dyDescent="0.25">
      <c r="B196" t="s">
        <v>541</v>
      </c>
      <c r="X196" s="3"/>
    </row>
    <row r="197" spans="2:24" x14ac:dyDescent="0.25">
      <c r="B197" t="s">
        <v>542</v>
      </c>
      <c r="X197" s="3"/>
    </row>
    <row r="198" spans="2:24" x14ac:dyDescent="0.25">
      <c r="B198" t="s">
        <v>543</v>
      </c>
      <c r="X198" s="3"/>
    </row>
    <row r="199" spans="2:24" x14ac:dyDescent="0.25">
      <c r="B199" t="s">
        <v>544</v>
      </c>
      <c r="X199" s="3"/>
    </row>
    <row r="200" spans="2:24" x14ac:dyDescent="0.25">
      <c r="B200" t="s">
        <v>545</v>
      </c>
      <c r="X200" s="3"/>
    </row>
    <row r="201" spans="2:24" x14ac:dyDescent="0.25">
      <c r="B201" t="s">
        <v>345</v>
      </c>
      <c r="X201" s="3"/>
    </row>
    <row r="202" spans="2:24" x14ac:dyDescent="0.25">
      <c r="B202" t="s">
        <v>346</v>
      </c>
      <c r="X202" s="3"/>
    </row>
    <row r="203" spans="2:24" x14ac:dyDescent="0.25">
      <c r="B203" t="s">
        <v>546</v>
      </c>
      <c r="X203" s="3"/>
    </row>
    <row r="204" spans="2:24" x14ac:dyDescent="0.25">
      <c r="B204" t="s">
        <v>347</v>
      </c>
      <c r="X204" s="3"/>
    </row>
    <row r="205" spans="2:24" x14ac:dyDescent="0.25">
      <c r="B205" t="s">
        <v>547</v>
      </c>
      <c r="X205" s="3"/>
    </row>
    <row r="206" spans="2:24" x14ac:dyDescent="0.25">
      <c r="B206" t="s">
        <v>548</v>
      </c>
      <c r="X206" s="3"/>
    </row>
    <row r="207" spans="2:24" x14ac:dyDescent="0.25">
      <c r="B207" t="s">
        <v>549</v>
      </c>
      <c r="X207" s="3"/>
    </row>
    <row r="208" spans="2:24" x14ac:dyDescent="0.25">
      <c r="B208" t="s">
        <v>550</v>
      </c>
      <c r="X208" s="3"/>
    </row>
    <row r="209" spans="2:24" x14ac:dyDescent="0.25">
      <c r="B209" t="s">
        <v>551</v>
      </c>
      <c r="X209" s="3"/>
    </row>
    <row r="210" spans="2:24" x14ac:dyDescent="0.25">
      <c r="B210" t="s">
        <v>552</v>
      </c>
      <c r="X210" s="3"/>
    </row>
    <row r="211" spans="2:24" x14ac:dyDescent="0.25">
      <c r="B211" t="s">
        <v>553</v>
      </c>
      <c r="X211" s="3"/>
    </row>
    <row r="212" spans="2:24" x14ac:dyDescent="0.25">
      <c r="B212" t="s">
        <v>554</v>
      </c>
      <c r="X212" s="3"/>
    </row>
    <row r="213" spans="2:24" x14ac:dyDescent="0.25">
      <c r="B213" t="s">
        <v>555</v>
      </c>
      <c r="X213" s="3"/>
    </row>
    <row r="214" spans="2:24" x14ac:dyDescent="0.25">
      <c r="B214" t="s">
        <v>556</v>
      </c>
      <c r="X214" s="3"/>
    </row>
    <row r="215" spans="2:24" x14ac:dyDescent="0.25">
      <c r="B215" t="s">
        <v>557</v>
      </c>
      <c r="X215" s="3"/>
    </row>
    <row r="216" spans="2:24" x14ac:dyDescent="0.25">
      <c r="B216" t="s">
        <v>558</v>
      </c>
      <c r="X216" s="3"/>
    </row>
    <row r="217" spans="2:24" x14ac:dyDescent="0.25">
      <c r="B217" t="s">
        <v>559</v>
      </c>
      <c r="X217" s="3"/>
    </row>
    <row r="218" spans="2:24" x14ac:dyDescent="0.25">
      <c r="B218" t="s">
        <v>560</v>
      </c>
      <c r="X218" s="3"/>
    </row>
    <row r="219" spans="2:24" x14ac:dyDescent="0.25">
      <c r="B219" t="s">
        <v>561</v>
      </c>
      <c r="X219" s="3"/>
    </row>
    <row r="220" spans="2:24" x14ac:dyDescent="0.25">
      <c r="B220" t="s">
        <v>562</v>
      </c>
      <c r="X220" s="3"/>
    </row>
    <row r="221" spans="2:24" x14ac:dyDescent="0.25">
      <c r="B221" t="s">
        <v>563</v>
      </c>
      <c r="X221" s="3"/>
    </row>
    <row r="222" spans="2:24" x14ac:dyDescent="0.25">
      <c r="B222" t="s">
        <v>564</v>
      </c>
      <c r="X222" s="3"/>
    </row>
    <row r="223" spans="2:24" x14ac:dyDescent="0.25">
      <c r="B223" t="s">
        <v>565</v>
      </c>
      <c r="X223" s="3"/>
    </row>
    <row r="224" spans="2:24" x14ac:dyDescent="0.25">
      <c r="B224" t="s">
        <v>566</v>
      </c>
      <c r="X224" s="3"/>
    </row>
    <row r="225" spans="2:24" x14ac:dyDescent="0.25">
      <c r="B225" t="s">
        <v>567</v>
      </c>
      <c r="X225" s="3"/>
    </row>
    <row r="226" spans="2:24" x14ac:dyDescent="0.25">
      <c r="B226" t="s">
        <v>568</v>
      </c>
      <c r="X226" s="3"/>
    </row>
    <row r="227" spans="2:24" x14ac:dyDescent="0.25">
      <c r="B227" t="s">
        <v>569</v>
      </c>
      <c r="X227" s="3"/>
    </row>
    <row r="228" spans="2:24" x14ac:dyDescent="0.25">
      <c r="B228" t="s">
        <v>570</v>
      </c>
      <c r="X228" s="3"/>
    </row>
    <row r="229" spans="2:24" x14ac:dyDescent="0.25">
      <c r="B229" t="s">
        <v>571</v>
      </c>
      <c r="X229" s="3"/>
    </row>
    <row r="230" spans="2:24" x14ac:dyDescent="0.25">
      <c r="B230" t="s">
        <v>572</v>
      </c>
      <c r="X230" s="3"/>
    </row>
    <row r="231" spans="2:24" x14ac:dyDescent="0.25">
      <c r="B231" t="s">
        <v>573</v>
      </c>
      <c r="X231" s="3"/>
    </row>
    <row r="232" spans="2:24" x14ac:dyDescent="0.25">
      <c r="B232" t="s">
        <v>574</v>
      </c>
      <c r="X232" s="3"/>
    </row>
    <row r="233" spans="2:24" x14ac:dyDescent="0.25">
      <c r="B233" t="s">
        <v>575</v>
      </c>
      <c r="X233" s="3"/>
    </row>
    <row r="234" spans="2:24" x14ac:dyDescent="0.25">
      <c r="B234" t="s">
        <v>576</v>
      </c>
      <c r="X234" s="3"/>
    </row>
    <row r="235" spans="2:24" x14ac:dyDescent="0.25">
      <c r="B235" t="s">
        <v>577</v>
      </c>
      <c r="X235" s="3"/>
    </row>
    <row r="236" spans="2:24" x14ac:dyDescent="0.25">
      <c r="B236" t="s">
        <v>578</v>
      </c>
      <c r="X236" s="3"/>
    </row>
    <row r="237" spans="2:24" x14ac:dyDescent="0.25">
      <c r="B237" t="s">
        <v>374</v>
      </c>
      <c r="X237" s="3"/>
    </row>
    <row r="238" spans="2:24" x14ac:dyDescent="0.25">
      <c r="B238" t="s">
        <v>579</v>
      </c>
      <c r="X238" s="3"/>
    </row>
    <row r="239" spans="2:24" x14ac:dyDescent="0.25">
      <c r="B239" t="s">
        <v>580</v>
      </c>
      <c r="X239" s="3"/>
    </row>
    <row r="240" spans="2:24" x14ac:dyDescent="0.25">
      <c r="B240" t="s">
        <v>581</v>
      </c>
      <c r="X240" s="3"/>
    </row>
    <row r="241" spans="2:24" x14ac:dyDescent="0.25">
      <c r="B241" t="s">
        <v>582</v>
      </c>
      <c r="X241" s="3"/>
    </row>
    <row r="242" spans="2:24" x14ac:dyDescent="0.25">
      <c r="B242" t="s">
        <v>583</v>
      </c>
      <c r="X242" s="3"/>
    </row>
    <row r="243" spans="2:24" x14ac:dyDescent="0.25">
      <c r="B243" t="s">
        <v>584</v>
      </c>
      <c r="X243" s="3"/>
    </row>
    <row r="244" spans="2:24" x14ac:dyDescent="0.25">
      <c r="B244" t="s">
        <v>585</v>
      </c>
      <c r="X244" s="3"/>
    </row>
    <row r="245" spans="2:24" x14ac:dyDescent="0.25">
      <c r="B245" t="s">
        <v>586</v>
      </c>
      <c r="X245" s="3"/>
    </row>
    <row r="246" spans="2:24" x14ac:dyDescent="0.25">
      <c r="B246" t="s">
        <v>587</v>
      </c>
    </row>
    <row r="247" spans="2:24" x14ac:dyDescent="0.25">
      <c r="B247" t="s">
        <v>588</v>
      </c>
    </row>
    <row r="248" spans="2:24" x14ac:dyDescent="0.25">
      <c r="B248" t="s">
        <v>589</v>
      </c>
    </row>
    <row r="249" spans="2:24" x14ac:dyDescent="0.25">
      <c r="B249" t="s">
        <v>590</v>
      </c>
    </row>
    <row r="250" spans="2:24" x14ac:dyDescent="0.25">
      <c r="B250" t="s">
        <v>591</v>
      </c>
    </row>
    <row r="251" spans="2:24" x14ac:dyDescent="0.25">
      <c r="B251" t="s">
        <v>592</v>
      </c>
    </row>
    <row r="252" spans="2:24" x14ac:dyDescent="0.25">
      <c r="B252" t="s">
        <v>593</v>
      </c>
    </row>
    <row r="253" spans="2:24" x14ac:dyDescent="0.25">
      <c r="B253" t="s">
        <v>348</v>
      </c>
    </row>
    <row r="254" spans="2:24" x14ac:dyDescent="0.25">
      <c r="B254" t="s">
        <v>594</v>
      </c>
    </row>
    <row r="255" spans="2:24" x14ac:dyDescent="0.25">
      <c r="B255" t="s">
        <v>595</v>
      </c>
    </row>
    <row r="256" spans="2:24" x14ac:dyDescent="0.25">
      <c r="B256" t="s">
        <v>596</v>
      </c>
    </row>
    <row r="257" spans="2:2" x14ac:dyDescent="0.25">
      <c r="B257" t="s">
        <v>597</v>
      </c>
    </row>
    <row r="258" spans="2:2" x14ac:dyDescent="0.25">
      <c r="B258" t="s">
        <v>598</v>
      </c>
    </row>
    <row r="259" spans="2:2" x14ac:dyDescent="0.25">
      <c r="B259" t="s">
        <v>599</v>
      </c>
    </row>
    <row r="260" spans="2:2" x14ac:dyDescent="0.25">
      <c r="B260" t="s">
        <v>600</v>
      </c>
    </row>
    <row r="261" spans="2:2" x14ac:dyDescent="0.25">
      <c r="B261" t="s">
        <v>601</v>
      </c>
    </row>
    <row r="262" spans="2:2" x14ac:dyDescent="0.25">
      <c r="B262" t="s">
        <v>602</v>
      </c>
    </row>
    <row r="263" spans="2:2" x14ac:dyDescent="0.25">
      <c r="B263" t="s">
        <v>603</v>
      </c>
    </row>
    <row r="264" spans="2:2" x14ac:dyDescent="0.25">
      <c r="B264" t="s">
        <v>604</v>
      </c>
    </row>
    <row r="265" spans="2:2" x14ac:dyDescent="0.25">
      <c r="B265" t="s">
        <v>605</v>
      </c>
    </row>
    <row r="266" spans="2:2" x14ac:dyDescent="0.25">
      <c r="B266" t="s">
        <v>606</v>
      </c>
    </row>
    <row r="267" spans="2:2" x14ac:dyDescent="0.25">
      <c r="B267" t="s">
        <v>607</v>
      </c>
    </row>
    <row r="268" spans="2:2" x14ac:dyDescent="0.25">
      <c r="B268" t="s">
        <v>608</v>
      </c>
    </row>
    <row r="269" spans="2:2" x14ac:dyDescent="0.25">
      <c r="B269" t="s">
        <v>349</v>
      </c>
    </row>
    <row r="270" spans="2:2" x14ac:dyDescent="0.25">
      <c r="B270" t="s">
        <v>609</v>
      </c>
    </row>
    <row r="271" spans="2:2" x14ac:dyDescent="0.25">
      <c r="B271" t="s">
        <v>610</v>
      </c>
    </row>
    <row r="272" spans="2:2" x14ac:dyDescent="0.25">
      <c r="B272" t="s">
        <v>611</v>
      </c>
    </row>
    <row r="273" spans="2:2" x14ac:dyDescent="0.25">
      <c r="B273" t="s">
        <v>350</v>
      </c>
    </row>
    <row r="274" spans="2:2" x14ac:dyDescent="0.25">
      <c r="B274" t="s">
        <v>351</v>
      </c>
    </row>
    <row r="275" spans="2:2" x14ac:dyDescent="0.25">
      <c r="B275" t="s">
        <v>612</v>
      </c>
    </row>
    <row r="276" spans="2:2" x14ac:dyDescent="0.25">
      <c r="B276" t="s">
        <v>613</v>
      </c>
    </row>
    <row r="277" spans="2:2" x14ac:dyDescent="0.25">
      <c r="B277" t="s">
        <v>614</v>
      </c>
    </row>
    <row r="278" spans="2:2" x14ac:dyDescent="0.25">
      <c r="B278" t="s">
        <v>615</v>
      </c>
    </row>
    <row r="279" spans="2:2" x14ac:dyDescent="0.25">
      <c r="B279" t="s">
        <v>616</v>
      </c>
    </row>
    <row r="280" spans="2:2" x14ac:dyDescent="0.25">
      <c r="B280" t="s">
        <v>352</v>
      </c>
    </row>
  </sheetData>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44</vt:i4>
      </vt:variant>
    </vt:vector>
  </HeadingPairs>
  <TitlesOfParts>
    <vt:vector size="47" baseType="lpstr">
      <vt:lpstr>Instructions</vt:lpstr>
      <vt:lpstr>Inputs</vt:lpstr>
      <vt:lpstr>Tables</vt:lpstr>
      <vt:lpstr>agedifMax</vt:lpstr>
      <vt:lpstr>agedifMin</vt:lpstr>
      <vt:lpstr>battleDeathChance</vt:lpstr>
      <vt:lpstr>battleDeathMaxAge</vt:lpstr>
      <vt:lpstr>battleDeathMinAge</vt:lpstr>
      <vt:lpstr>charIDString</vt:lpstr>
      <vt:lpstr>childbearingAgeReductionMax</vt:lpstr>
      <vt:lpstr>childbirthMaxAge</vt:lpstr>
      <vt:lpstr>childbirthMinAge</vt:lpstr>
      <vt:lpstr>childrenMax</vt:lpstr>
      <vt:lpstr>cultureID</vt:lpstr>
      <vt:lpstr>dynastyID</vt:lpstr>
      <vt:lpstr>faithID</vt:lpstr>
      <vt:lpstr>generations</vt:lpstr>
      <vt:lpstr>generationSiblings</vt:lpstr>
      <vt:lpstr>heroBuffMax</vt:lpstr>
      <vt:lpstr>heroBuffMin</vt:lpstr>
      <vt:lpstr>heroChance</vt:lpstr>
      <vt:lpstr>illDeathChance</vt:lpstr>
      <vt:lpstr>illDeathMaxAge</vt:lpstr>
      <vt:lpstr>illDeathMinAge</vt:lpstr>
      <vt:lpstr>initialCharID</vt:lpstr>
      <vt:lpstr>intrigueDeathChance</vt:lpstr>
      <vt:lpstr>intrigueDeathMaxAge</vt:lpstr>
      <vt:lpstr>intrigueDeathMinAge</vt:lpstr>
      <vt:lpstr>limitBirthYear</vt:lpstr>
      <vt:lpstr>marriageAgeReductionMax</vt:lpstr>
      <vt:lpstr>marriageMaxAge</vt:lpstr>
      <vt:lpstr>marriageMinAge</vt:lpstr>
      <vt:lpstr>oldDeathAgeReduction</vt:lpstr>
      <vt:lpstr>oldDeathAgeReductionMax</vt:lpstr>
      <vt:lpstr>oldDeathAgeReductionMin</vt:lpstr>
      <vt:lpstr>oldDeathMaxAge</vt:lpstr>
      <vt:lpstr>oldDeathMinAge</vt:lpstr>
      <vt:lpstr>optionEducation</vt:lpstr>
      <vt:lpstr>optionHeroes</vt:lpstr>
      <vt:lpstr>optionLocKeys</vt:lpstr>
      <vt:lpstr>optionMaleLine</vt:lpstr>
      <vt:lpstr>optionNicknames</vt:lpstr>
      <vt:lpstr>optionNumenorianBlood</vt:lpstr>
      <vt:lpstr>optionPersonalityTraits</vt:lpstr>
      <vt:lpstr>optionSexuality</vt:lpstr>
      <vt:lpstr>optionSkills</vt:lpstr>
      <vt:lpstr>startBirthYear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 Jones</dc:creator>
  <cp:lastModifiedBy>jakob</cp:lastModifiedBy>
  <dcterms:created xsi:type="dcterms:W3CDTF">2021-07-09T10:32:07Z</dcterms:created>
  <dcterms:modified xsi:type="dcterms:W3CDTF">2021-11-16T03:57:31Z</dcterms:modified>
</cp:coreProperties>
</file>